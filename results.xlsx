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anna/python/with_venv/stage/"/>
    </mc:Choice>
  </mc:AlternateContent>
  <xr:revisionPtr revIDLastSave="0" documentId="13_ncr:1_{A49D5BB5-4900-5244-9F71-699EDD3FF109}" xr6:coauthVersionLast="47" xr6:coauthVersionMax="47" xr10:uidLastSave="{00000000-0000-0000-0000-000000000000}"/>
  <bookViews>
    <workbookView xWindow="0" yWindow="500" windowWidth="19340" windowHeight="16040" firstSheet="6" activeTab="12" xr2:uid="{00000000-000D-0000-FFFF-FFFF00000000}"/>
  </bookViews>
  <sheets>
    <sheet name="zero (1995-2023)" sheetId="1" r:id="rId1"/>
    <sheet name="mean (1995-2023)" sheetId="2" r:id="rId2"/>
    <sheet name="median (1995-2023)" sheetId="3" r:id="rId3"/>
    <sheet name="results (1995-2023)" sheetId="7" r:id="rId4"/>
    <sheet name="zero (1998-2023)" sheetId="4" r:id="rId5"/>
    <sheet name="mean (1998-2023)" sheetId="5" r:id="rId6"/>
    <sheet name="median (1998-2023)" sheetId="6" r:id="rId7"/>
    <sheet name="results (1998-2023)" sheetId="8" r:id="rId8"/>
    <sheet name="25%" sheetId="10" r:id="rId9"/>
    <sheet name="50%" sheetId="11" r:id="rId10"/>
    <sheet name="75%" sheetId="12" r:id="rId11"/>
    <sheet name="90%" sheetId="9" r:id="rId12"/>
    <sheet name="results (null values)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3" l="1"/>
  <c r="D9" i="13"/>
  <c r="B9" i="13"/>
  <c r="F8" i="13"/>
  <c r="D8" i="13"/>
  <c r="B8" i="13"/>
  <c r="F7" i="13"/>
  <c r="D7" i="13"/>
  <c r="B7" i="13"/>
  <c r="F4" i="13"/>
  <c r="F3" i="13"/>
  <c r="F2" i="13"/>
  <c r="D4" i="13"/>
  <c r="D3" i="13"/>
  <c r="D2" i="13"/>
  <c r="B4" i="13"/>
  <c r="B3" i="13"/>
  <c r="B2" i="13"/>
  <c r="B2" i="8"/>
  <c r="F7" i="8"/>
  <c r="F8" i="8"/>
  <c r="F9" i="8"/>
  <c r="D2" i="8"/>
  <c r="F2" i="8"/>
  <c r="B3" i="8"/>
  <c r="D3" i="8"/>
  <c r="F3" i="8"/>
  <c r="B4" i="8"/>
  <c r="D4" i="8"/>
  <c r="F4" i="8"/>
  <c r="B7" i="8"/>
  <c r="D7" i="8"/>
  <c r="B8" i="8"/>
  <c r="D8" i="8"/>
  <c r="B9" i="8"/>
  <c r="D9" i="8"/>
  <c r="F9" i="7"/>
  <c r="D9" i="7"/>
  <c r="B9" i="7"/>
  <c r="F8" i="7"/>
  <c r="D8" i="7"/>
  <c r="B8" i="7"/>
  <c r="F7" i="7"/>
  <c r="D7" i="7"/>
  <c r="B7" i="7"/>
  <c r="F4" i="7"/>
  <c r="F3" i="7"/>
  <c r="F2" i="7"/>
  <c r="D4" i="7"/>
  <c r="D3" i="7"/>
  <c r="D2" i="7"/>
  <c r="B4" i="7"/>
  <c r="B3" i="7"/>
  <c r="B2" i="7"/>
</calcChain>
</file>

<file path=xl/sharedStrings.xml><?xml version="1.0" encoding="utf-8"?>
<sst xmlns="http://schemas.openxmlformats.org/spreadsheetml/2006/main" count="3876" uniqueCount="511">
  <si>
    <t>ITA-ROE-GradientBoostingClassifier</t>
  </si>
  <si>
    <t>EU-ROE-GradientBoostingClassifier</t>
  </si>
  <si>
    <t>USA-ROE-GradientBoostingClassifier</t>
  </si>
  <si>
    <t xml:space="preserve">precision    </t>
  </si>
  <si>
    <t xml:space="preserve">recall  </t>
  </si>
  <si>
    <t xml:space="preserve">f1-score   </t>
  </si>
  <si>
    <t>support</t>
  </si>
  <si>
    <t>confusion matrix</t>
  </si>
  <si>
    <t>roc-auc score</t>
  </si>
  <si>
    <t>ITA-ROE-RandomForestClassifier</t>
  </si>
  <si>
    <t>EU-ROE-RandomForestClassifier</t>
  </si>
  <si>
    <t>USA-ROE-RandomForestClassifier</t>
  </si>
  <si>
    <t>ITA-ROE-MPLClassifier</t>
  </si>
  <si>
    <t>EU-ROE-MPLClassifier</t>
  </si>
  <si>
    <t>USA-ROE-MPLClassifier</t>
  </si>
  <si>
    <t>ITA-ROCE-GradientBoostingClassifier</t>
  </si>
  <si>
    <t>EU-ROCE-GradientBoostingClassifier</t>
  </si>
  <si>
    <t>USA-ROCE-GradientBoostingClassifier</t>
  </si>
  <si>
    <t>ITA-ROCE-RandomForestClassifier</t>
  </si>
  <si>
    <t>EU-ROCE-RandomForestClassifier</t>
  </si>
  <si>
    <t>USA-ROCE-RandomForestClassifier</t>
  </si>
  <si>
    <t>ITA-ROCE-MPLClassifier</t>
  </si>
  <si>
    <t>EU-ROCE-MPLClassifier</t>
  </si>
  <si>
    <t>USA-ROCE-MPLClassifier</t>
  </si>
  <si>
    <t>ITA-UN-GradientBoostingClassifier</t>
  </si>
  <si>
    <t>EU-UN-GradientBoostingClassifier</t>
  </si>
  <si>
    <t>USA-UN-GradientBoostingClassifier</t>
  </si>
  <si>
    <t>ITA-UN-RandomForestClassifier</t>
  </si>
  <si>
    <t>EU-UN-RandomForestClassifier</t>
  </si>
  <si>
    <t>USA-UN-RandomForestClassifier</t>
  </si>
  <si>
    <t>ITA-UN-MPLClassifier</t>
  </si>
  <si>
    <t>EU-UN-MPLClassifier</t>
  </si>
  <si>
    <t>USA-UN-MPLClassifier</t>
  </si>
  <si>
    <t>ROE</t>
  </si>
  <si>
    <t>ROCE</t>
  </si>
  <si>
    <t>Utile Netto</t>
  </si>
  <si>
    <t>ITA</t>
  </si>
  <si>
    <t>EU</t>
  </si>
  <si>
    <t>USA</t>
  </si>
  <si>
    <t>ROC-AUC</t>
  </si>
  <si>
    <t>ACCURACY</t>
  </si>
  <si>
    <t>[[145  47]</t>
  </si>
  <si>
    <t xml:space="preserve"> [ 74  72]]</t>
  </si>
  <si>
    <t>[[121  71]</t>
  </si>
  <si>
    <t xml:space="preserve"> [ 39 107]]</t>
  </si>
  <si>
    <t>[[114  78]</t>
  </si>
  <si>
    <t xml:space="preserve"> [ 73  73]]</t>
  </si>
  <si>
    <t>[[111  51]</t>
  </si>
  <si>
    <t xml:space="preserve"> [ 74 102]]</t>
  </si>
  <si>
    <t>[[116  46]</t>
  </si>
  <si>
    <t xml:space="preserve"> [ 94  82]]</t>
  </si>
  <si>
    <t>[[108  54]</t>
  </si>
  <si>
    <t xml:space="preserve"> [107  69]]</t>
  </si>
  <si>
    <t>[[ 54 109]</t>
  </si>
  <si>
    <t xml:space="preserve"> [ 32 143]]</t>
  </si>
  <si>
    <t>[[ 78  85]</t>
  </si>
  <si>
    <t xml:space="preserve"> [ 57 118]]</t>
  </si>
  <si>
    <t>[[114  49]</t>
  </si>
  <si>
    <t xml:space="preserve"> [107  68]]</t>
  </si>
  <si>
    <t>[[674 402]</t>
  </si>
  <si>
    <t xml:space="preserve"> [313 547]]</t>
  </si>
  <si>
    <t>[[690 386]</t>
  </si>
  <si>
    <t xml:space="preserve"> [325 535]]</t>
  </si>
  <si>
    <t>[[684 392]</t>
  </si>
  <si>
    <t xml:space="preserve"> [368 492]]</t>
  </si>
  <si>
    <t>[[541 393]</t>
  </si>
  <si>
    <t xml:space="preserve"> [332 670]]</t>
  </si>
  <si>
    <t>[[590 344]</t>
  </si>
  <si>
    <t xml:space="preserve"> [392 610]]</t>
  </si>
  <si>
    <t>[[471 463]</t>
  </si>
  <si>
    <t xml:space="preserve"> [319 683]]</t>
  </si>
  <si>
    <t>[[300 615]</t>
  </si>
  <si>
    <t xml:space="preserve"> [152 869]]</t>
  </si>
  <si>
    <t>[[401 514]</t>
  </si>
  <si>
    <t xml:space="preserve"> [267 754]]</t>
  </si>
  <si>
    <t>[[705 210]</t>
  </si>
  <si>
    <t xml:space="preserve"> [646 375]]</t>
  </si>
  <si>
    <t>[[529 458]</t>
  </si>
  <si>
    <t xml:space="preserve"> [194 767]]</t>
  </si>
  <si>
    <t>[[565 422]</t>
  </si>
  <si>
    <t xml:space="preserve"> [262 699]]</t>
  </si>
  <si>
    <t>[[493 494]</t>
  </si>
  <si>
    <t xml:space="preserve"> [263 698]]</t>
  </si>
  <si>
    <t>[[402 406]</t>
  </si>
  <si>
    <t xml:space="preserve"> [179 961]]</t>
  </si>
  <si>
    <t>[[468 340]</t>
  </si>
  <si>
    <t xml:space="preserve"> [278 862]]</t>
  </si>
  <si>
    <t>[[ 115  693]</t>
  </si>
  <si>
    <t xml:space="preserve"> [  59 1081]]</t>
  </si>
  <si>
    <t>[[322 559]</t>
  </si>
  <si>
    <t xml:space="preserve"> [176 891]]</t>
  </si>
  <si>
    <t>[[331 550]</t>
  </si>
  <si>
    <t xml:space="preserve"> [202 865]]</t>
  </si>
  <si>
    <t>[[719 162]</t>
  </si>
  <si>
    <t xml:space="preserve"> [707 360]]</t>
  </si>
  <si>
    <t>    accuracy</t>
  </si>
  <si>
    <t>   </t>
  </si>
  <si>
    <t>   macro avg</t>
  </si>
  <si>
    <t>weighted avg</t>
  </si>
  <si>
    <t>GBC (zero, mean, median)</t>
  </si>
  <si>
    <t>[[675 400]</t>
  </si>
  <si>
    <t xml:space="preserve"> [306 555]]</t>
  </si>
  <si>
    <t>[[724 351]</t>
  </si>
  <si>
    <t xml:space="preserve"> [340 521]]</t>
  </si>
  <si>
    <t>[[395 680]</t>
  </si>
  <si>
    <t xml:space="preserve"> [170 691]]</t>
  </si>
  <si>
    <t>[[608 324]</t>
  </si>
  <si>
    <t xml:space="preserve"> [400 604]]</t>
  </si>
  <si>
    <t>[[624 308]</t>
  </si>
  <si>
    <t xml:space="preserve"> [424 580]]</t>
  </si>
  <si>
    <t>[[491 441]</t>
  </si>
  <si>
    <t xml:space="preserve"> [377 627]]</t>
  </si>
  <si>
    <t>[[260 655]</t>
  </si>
  <si>
    <t xml:space="preserve"> [141 880]]</t>
  </si>
  <si>
    <t>[[394 521]</t>
  </si>
  <si>
    <t xml:space="preserve"> [256 765]]</t>
  </si>
  <si>
    <t>[[125  67]</t>
  </si>
  <si>
    <t xml:space="preserve"> [ 54  92]]</t>
  </si>
  <si>
    <t>[[142  50]</t>
  </si>
  <si>
    <t xml:space="preserve"> [ 80  66]]</t>
  </si>
  <si>
    <t>[[ 90 102]</t>
  </si>
  <si>
    <t xml:space="preserve"> [ 52  94]]</t>
  </si>
  <si>
    <t>[[111  52]</t>
  </si>
  <si>
    <t xml:space="preserve"> [ 73 102]]</t>
  </si>
  <si>
    <t>[[113  50]</t>
  </si>
  <si>
    <t xml:space="preserve"> [ 89  86]]</t>
  </si>
  <si>
    <t>[[109  54]</t>
  </si>
  <si>
    <t xml:space="preserve"> [101  74]]</t>
  </si>
  <si>
    <t>[[ 59 104]</t>
  </si>
  <si>
    <t xml:space="preserve"> [ 33 142]]</t>
  </si>
  <si>
    <t>[[ 87  76]</t>
  </si>
  <si>
    <t xml:space="preserve"> [ 65 110]]</t>
  </si>
  <si>
    <t>[[ 51 112]</t>
  </si>
  <si>
    <t xml:space="preserve"> [ 55 120]]</t>
  </si>
  <si>
    <t>[[536 451]</t>
  </si>
  <si>
    <t>[[559 428]</t>
  </si>
  <si>
    <t>[[951  36]</t>
  </si>
  <si>
    <t xml:space="preserve"> [831 130]]</t>
  </si>
  <si>
    <t>[[452 358]</t>
  </si>
  <si>
    <t xml:space="preserve"> [212 926]]</t>
  </si>
  <si>
    <t>[[462 348]</t>
  </si>
  <si>
    <t xml:space="preserve"> [271 867]]</t>
  </si>
  <si>
    <t>[[  99  711]</t>
  </si>
  <si>
    <t xml:space="preserve"> [  53 1085]]</t>
  </si>
  <si>
    <t>[[303 578]</t>
  </si>
  <si>
    <t xml:space="preserve"> [140 927]]</t>
  </si>
  <si>
    <t>[[334 547]</t>
  </si>
  <si>
    <t xml:space="preserve"> [197 870]]</t>
  </si>
  <si>
    <t>[[864  17]</t>
  </si>
  <si>
    <t xml:space="preserve"> [987  80]]</t>
  </si>
  <si>
    <t>[[128  64]</t>
  </si>
  <si>
    <t xml:space="preserve"> [ 60  86]]</t>
  </si>
  <si>
    <t>[[146  46]</t>
  </si>
  <si>
    <t xml:space="preserve"> [ 77  69]]</t>
  </si>
  <si>
    <t>[[179  13]</t>
  </si>
  <si>
    <t xml:space="preserve"> [134  12]]</t>
  </si>
  <si>
    <t>[[116  47]</t>
  </si>
  <si>
    <t xml:space="preserve"> [ 81  94]]</t>
  </si>
  <si>
    <t>[[120  43]</t>
  </si>
  <si>
    <t xml:space="preserve"> [ 91  84]]</t>
  </si>
  <si>
    <t>[[100  63]</t>
  </si>
  <si>
    <t>[[ 53 110]</t>
  </si>
  <si>
    <t>[[ 79  84]</t>
  </si>
  <si>
    <t xml:space="preserve"> [ 59 116]]</t>
  </si>
  <si>
    <t>[[ 76  87]</t>
  </si>
  <si>
    <t xml:space="preserve"> [ 72 103]]</t>
  </si>
  <si>
    <t>   macro avg </t>
  </si>
  <si>
    <t xml:space="preserve">    </t>
  </si>
  <si>
    <t>GBC (zero)</t>
  </si>
  <si>
    <t>RFC (mean)</t>
  </si>
  <si>
    <t>GBC (mean)</t>
  </si>
  <si>
    <t>GBC (mean) RFC (mean)</t>
  </si>
  <si>
    <t>GBC (zero, mean) </t>
  </si>
  <si>
    <t>GBC (zero, median) RFC (zero, mean, median)</t>
  </si>
  <si>
    <t>[[122  70]</t>
  </si>
  <si>
    <t xml:space="preserve"> [ 51  95]]</t>
  </si>
  <si>
    <t>[[141  51]</t>
  </si>
  <si>
    <t xml:space="preserve"> [ 67  79]]</t>
  </si>
  <si>
    <t>[[165  27]</t>
  </si>
  <si>
    <t xml:space="preserve"> [111  35]]</t>
  </si>
  <si>
    <t>[[114  48]</t>
  </si>
  <si>
    <t>[[119  43]</t>
  </si>
  <si>
    <t xml:space="preserve"> [ 84  92]]</t>
  </si>
  <si>
    <t>[[112  50]</t>
  </si>
  <si>
    <t xml:space="preserve"> [109  67]]</t>
  </si>
  <si>
    <t>[[ 73  90]</t>
  </si>
  <si>
    <t xml:space="preserve"> [ 37 138]]</t>
  </si>
  <si>
    <t>[[ 84  79]</t>
  </si>
  <si>
    <t xml:space="preserve"> [ 58 117]]</t>
  </si>
  <si>
    <t>[[80 83]</t>
  </si>
  <si>
    <t xml:space="preserve"> [76 99]]</t>
  </si>
  <si>
    <t>[[671 405]</t>
  </si>
  <si>
    <t xml:space="preserve"> [311 549]]</t>
  </si>
  <si>
    <t>[[701 375]</t>
  </si>
  <si>
    <t xml:space="preserve"> [326 534]]</t>
  </si>
  <si>
    <t>[[389 687]</t>
  </si>
  <si>
    <t xml:space="preserve"> [188 672]]</t>
  </si>
  <si>
    <t>[[611 323]</t>
  </si>
  <si>
    <t xml:space="preserve"> [409 593]]</t>
  </si>
  <si>
    <t>[[624 310]</t>
  </si>
  <si>
    <t xml:space="preserve"> [429 573]]</t>
  </si>
  <si>
    <t>[[198 736]</t>
  </si>
  <si>
    <t xml:space="preserve"> [108 894]]</t>
  </si>
  <si>
    <t>[[220 695]</t>
  </si>
  <si>
    <t xml:space="preserve"> [101 920]]</t>
  </si>
  <si>
    <t>[[368 547]</t>
  </si>
  <si>
    <t xml:space="preserve"> [246 775]]</t>
  </si>
  <si>
    <t>[[788 127]</t>
  </si>
  <si>
    <t xml:space="preserve"> [765 256]]</t>
  </si>
  <si>
    <t>[[545 442]</t>
  </si>
  <si>
    <t xml:space="preserve"> [206 755]]</t>
  </si>
  <si>
    <t>[[569 418]</t>
  </si>
  <si>
    <t xml:space="preserve"> [250 711]]</t>
  </si>
  <si>
    <t>[[ 92 895]</t>
  </si>
  <si>
    <t xml:space="preserve"> [ 41 920]]</t>
  </si>
  <si>
    <t>[[443 365]</t>
  </si>
  <si>
    <t xml:space="preserve"> [202 938]]</t>
  </si>
  <si>
    <t>[[466 342]</t>
  </si>
  <si>
    <t xml:space="preserve"> [259 881]]</t>
  </si>
  <si>
    <t>[[ 237  571]</t>
  </si>
  <si>
    <t xml:space="preserve"> [ 110 1030]]</t>
  </si>
  <si>
    <t>[[285 596]</t>
  </si>
  <si>
    <t xml:space="preserve"> [134 933]]</t>
  </si>
  <si>
    <t>[[336 545]</t>
  </si>
  <si>
    <t xml:space="preserve"> [194 873]]</t>
  </si>
  <si>
    <t>[[288 593]</t>
  </si>
  <si>
    <t xml:space="preserve"> [185 882]]</t>
  </si>
  <si>
    <t>[[133  59]</t>
  </si>
  <si>
    <t>[[140  52]</t>
  </si>
  <si>
    <t>[[105  87]</t>
  </si>
  <si>
    <t xml:space="preserve"> [ 68  78]]</t>
  </si>
  <si>
    <t>[[123  40]</t>
  </si>
  <si>
    <t xml:space="preserve"> [ 80  95]]</t>
  </si>
  <si>
    <t>[[117  46]</t>
  </si>
  <si>
    <t xml:space="preserve"> [ 86  89]]</t>
  </si>
  <si>
    <t xml:space="preserve"> [ 41 134]]</t>
  </si>
  <si>
    <t>[[ 63 100]</t>
  </si>
  <si>
    <t xml:space="preserve"> [ 35 140]]</t>
  </si>
  <si>
    <t>[[ 83  80]</t>
  </si>
  <si>
    <t xml:space="preserve"> [ 62 113]]</t>
  </si>
  <si>
    <t>[[104  59]</t>
  </si>
  <si>
    <t xml:space="preserve"> [ 95  80]]</t>
  </si>
  <si>
    <t>[[680 395]</t>
  </si>
  <si>
    <t xml:space="preserve"> [315 546]]</t>
  </si>
  <si>
    <t xml:space="preserve"> [351 510]]</t>
  </si>
  <si>
    <t>[[624 451]</t>
  </si>
  <si>
    <t xml:space="preserve"> [366 495]]</t>
  </si>
  <si>
    <t>[[611 321]</t>
  </si>
  <si>
    <t>[[629 303]</t>
  </si>
  <si>
    <t xml:space="preserve"> [422 582]]</t>
  </si>
  <si>
    <t>[[723 209]</t>
  </si>
  <si>
    <t xml:space="preserve"> [671 333]]</t>
  </si>
  <si>
    <t>[[241 674]</t>
  </si>
  <si>
    <t xml:space="preserve"> [116 905]]</t>
  </si>
  <si>
    <t>[[399 516]</t>
  </si>
  <si>
    <t xml:space="preserve"> [257 764]]</t>
  </si>
  <si>
    <t>[[189 726]</t>
  </si>
  <si>
    <t xml:space="preserve"> [113 908]]</t>
  </si>
  <si>
    <t>[[534 453]</t>
  </si>
  <si>
    <t xml:space="preserve"> [186 775]]</t>
  </si>
  <si>
    <t>[[560 427]</t>
  </si>
  <si>
    <t xml:space="preserve"> [249 712]]</t>
  </si>
  <si>
    <t>[[623 364]</t>
  </si>
  <si>
    <t xml:space="preserve"> [431 530]]</t>
  </si>
  <si>
    <t>[[442 369]</t>
  </si>
  <si>
    <t xml:space="preserve"> [210 927]]</t>
  </si>
  <si>
    <t>[[456 355]</t>
  </si>
  <si>
    <t xml:space="preserve"> [263 874]]</t>
  </si>
  <si>
    <t>[[731  80]</t>
  </si>
  <si>
    <t xml:space="preserve"> [804 333]]</t>
  </si>
  <si>
    <t xml:space="preserve"> [135 932]]</t>
  </si>
  <si>
    <t xml:space="preserve"> [201 866]]</t>
  </si>
  <si>
    <t>[[822  59]</t>
  </si>
  <si>
    <t xml:space="preserve"> [895 172]]</t>
  </si>
  <si>
    <t>[[124  68]</t>
  </si>
  <si>
    <t xml:space="preserve"> [ 64  82]]</t>
  </si>
  <si>
    <t>[[144  48]</t>
  </si>
  <si>
    <t xml:space="preserve"> [ 75  71]]</t>
  </si>
  <si>
    <t>[[ 53 139]</t>
  </si>
  <si>
    <t xml:space="preserve"> [ 23 123]]</t>
  </si>
  <si>
    <t>[[112  51]</t>
  </si>
  <si>
    <t xml:space="preserve"> [ 83  92]]</t>
  </si>
  <si>
    <t xml:space="preserve"> [ 88  87]]</t>
  </si>
  <si>
    <t>[[ 58 105]</t>
  </si>
  <si>
    <t xml:space="preserve"> [ 69 106]]</t>
  </si>
  <si>
    <t xml:space="preserve"> [ 36 139]]</t>
  </si>
  <si>
    <t>[[ 93  70]</t>
  </si>
  <si>
    <t xml:space="preserve"> [ 60 115]]</t>
  </si>
  <si>
    <t>[[ 49 114]</t>
  </si>
  <si>
    <t>[[669 406]</t>
  </si>
  <si>
    <t xml:space="preserve"> [309 552]]</t>
  </si>
  <si>
    <t>[[723 352]</t>
  </si>
  <si>
    <t xml:space="preserve"> [368 493]]</t>
  </si>
  <si>
    <t>[[   7 1068]</t>
  </si>
  <si>
    <t xml:space="preserve"> [   5  856]]</t>
  </si>
  <si>
    <t>[[620 312]</t>
  </si>
  <si>
    <t xml:space="preserve"> [406 598]]</t>
  </si>
  <si>
    <t>[[605 327]</t>
  </si>
  <si>
    <t xml:space="preserve"> [412 592]]</t>
  </si>
  <si>
    <t>[[ 46 886]</t>
  </si>
  <si>
    <t xml:space="preserve"> [ 34 970]]</t>
  </si>
  <si>
    <t>[[259 656]</t>
  </si>
  <si>
    <t xml:space="preserve"> [129 892]]</t>
  </si>
  <si>
    <t>[[385 530]</t>
  </si>
  <si>
    <t xml:space="preserve"> [266 755]]</t>
  </si>
  <si>
    <t>[[199 716]</t>
  </si>
  <si>
    <t xml:space="preserve"> [123 898]]</t>
  </si>
  <si>
    <t>[[532 454]</t>
  </si>
  <si>
    <t xml:space="preserve"> [197 765]]</t>
  </si>
  <si>
    <t>[[549 437]</t>
  </si>
  <si>
    <t xml:space="preserve"> [244 718]]</t>
  </si>
  <si>
    <t>[[378 608]</t>
  </si>
  <si>
    <t xml:space="preserve"> [199 763]]</t>
  </si>
  <si>
    <t>[[426 384]</t>
  </si>
  <si>
    <t xml:space="preserve"> [191 947]]</t>
  </si>
  <si>
    <t>[[443 367]</t>
  </si>
  <si>
    <t xml:space="preserve"> [261 877]]</t>
  </si>
  <si>
    <t>[[241 569]</t>
  </si>
  <si>
    <t xml:space="preserve"> [174 964]]</t>
  </si>
  <si>
    <t>[[296 585]</t>
  </si>
  <si>
    <t xml:space="preserve"> [144 923]]</t>
  </si>
  <si>
    <t>[[338 543]</t>
  </si>
  <si>
    <t xml:space="preserve"> [193 874]]</t>
  </si>
  <si>
    <t>[[425 456]</t>
  </si>
  <si>
    <t xml:space="preserve"> [313 754]]</t>
  </si>
  <si>
    <t>RFC (zero)</t>
  </si>
  <si>
    <t>GBC (median)</t>
  </si>
  <si>
    <t>GBC (mean) RFC (zero)</t>
  </si>
  <si>
    <t>RFC (zero, mean)</t>
  </si>
  <si>
    <t>GBC (zero, mean)</t>
  </si>
  <si>
    <t>GBC (mean, median) RFC (mean)</t>
  </si>
  <si>
    <t>GBC (zero) RFC (median)</t>
  </si>
  <si>
    <t>[[129  63]</t>
  </si>
  <si>
    <t xml:space="preserve"> [ 58  88]]</t>
  </si>
  <si>
    <t xml:space="preserve"> [ 70  76]]</t>
  </si>
  <si>
    <t xml:space="preserve"> [ 90  56]]</t>
  </si>
  <si>
    <t>[[118  45]</t>
  </si>
  <si>
    <t xml:space="preserve"> [ 74 101]]</t>
  </si>
  <si>
    <t>[[119  44]</t>
  </si>
  <si>
    <t xml:space="preserve"> [ 94  81]]</t>
  </si>
  <si>
    <t>[[124  39]</t>
  </si>
  <si>
    <t xml:space="preserve"> [119  56]]</t>
  </si>
  <si>
    <t>[[ 89  74]</t>
  </si>
  <si>
    <t xml:space="preserve"> [ 66 109]]</t>
  </si>
  <si>
    <t>[[90 73]</t>
  </si>
  <si>
    <t xml:space="preserve"> [92 83]]</t>
  </si>
  <si>
    <t xml:space="preserve"> [ 79  67]]</t>
  </si>
  <si>
    <t>[[161  31]</t>
  </si>
  <si>
    <t xml:space="preserve"> [106  40]]</t>
  </si>
  <si>
    <t xml:space="preserve"> [ 70 105]]</t>
  </si>
  <si>
    <t>[[121  42]</t>
  </si>
  <si>
    <t xml:space="preserve"> [ 93  82]]</t>
  </si>
  <si>
    <t>[[87 76]</t>
  </si>
  <si>
    <t xml:space="preserve"> [83 92]]</t>
  </si>
  <si>
    <t xml:space="preserve"> [ 42 133]]</t>
  </si>
  <si>
    <t>[[ 82  81]</t>
  </si>
  <si>
    <t xml:space="preserve"> [ 67 108]]</t>
  </si>
  <si>
    <t xml:space="preserve"> [88 87]]</t>
  </si>
  <si>
    <t>[[116  76]</t>
  </si>
  <si>
    <t>[[ 74 118]</t>
  </si>
  <si>
    <t xml:space="preserve"> [ 34 112]]</t>
  </si>
  <si>
    <t>[[142  21]</t>
  </si>
  <si>
    <t xml:space="preserve"> [143  32]]</t>
  </si>
  <si>
    <t>[[ 47 116]</t>
  </si>
  <si>
    <t xml:space="preserve"> [ 25 150]]</t>
  </si>
  <si>
    <t xml:space="preserve"> [ 61 114]]</t>
  </si>
  <si>
    <t>[[137  26]</t>
  </si>
  <si>
    <t xml:space="preserve"> [141  34]]</t>
  </si>
  <si>
    <t>[[708 367]</t>
  </si>
  <si>
    <t xml:space="preserve"> [347 514]]</t>
  </si>
  <si>
    <t>[[913 162]</t>
  </si>
  <si>
    <t xml:space="preserve"> [618 243]]</t>
  </si>
  <si>
    <t>[[616 316]</t>
  </si>
  <si>
    <t xml:space="preserve"> [420 584]]</t>
  </si>
  <si>
    <t>[[475 457]</t>
  </si>
  <si>
    <t xml:space="preserve"> [356 648]]</t>
  </si>
  <si>
    <t>[[244 671]</t>
  </si>
  <si>
    <t xml:space="preserve"> [124 897]]</t>
  </si>
  <si>
    <t>[[404 511]</t>
  </si>
  <si>
    <t xml:space="preserve"> [280 741]]</t>
  </si>
  <si>
    <t>[[479 436]</t>
  </si>
  <si>
    <t xml:space="preserve"> [447 574]]</t>
  </si>
  <si>
    <t>[[694 381]</t>
  </si>
  <si>
    <t xml:space="preserve"> [319 542]]</t>
  </si>
  <si>
    <t>[[709 366]</t>
  </si>
  <si>
    <t xml:space="preserve"> [346 515]]</t>
  </si>
  <si>
    <t>[[853 222]</t>
  </si>
  <si>
    <t xml:space="preserve"> [548 313]]</t>
  </si>
  <si>
    <t>[[609 323]</t>
  </si>
  <si>
    <t xml:space="preserve"> [398 606]]</t>
  </si>
  <si>
    <t>[[630 302]</t>
  </si>
  <si>
    <t xml:space="preserve"> [417 587]]</t>
  </si>
  <si>
    <t>[[140 792]</t>
  </si>
  <si>
    <t xml:space="preserve"> [105 899]]</t>
  </si>
  <si>
    <t>[[384 531]</t>
  </si>
  <si>
    <t xml:space="preserve"> [244 777]]</t>
  </si>
  <si>
    <t>[[816  99]</t>
  </si>
  <si>
    <t xml:space="preserve"> [864 157]]</t>
  </si>
  <si>
    <t>[[686 389]</t>
  </si>
  <si>
    <t xml:space="preserve"> [308 553]]</t>
  </si>
  <si>
    <t>[[705 370]</t>
  </si>
  <si>
    <t xml:space="preserve"> [345 516]]</t>
  </si>
  <si>
    <t>[[733 342]</t>
  </si>
  <si>
    <t xml:space="preserve"> [457 404]]</t>
  </si>
  <si>
    <t>[[596 336]</t>
  </si>
  <si>
    <t xml:space="preserve"> [401 603]]</t>
  </si>
  <si>
    <t>[[622 310]</t>
  </si>
  <si>
    <t xml:space="preserve"> [427 577]]</t>
  </si>
  <si>
    <t>[[423 509]</t>
  </si>
  <si>
    <t xml:space="preserve"> [325 679]]</t>
  </si>
  <si>
    <t>[[233 682]</t>
  </si>
  <si>
    <t xml:space="preserve"> [118 903]]</t>
  </si>
  <si>
    <t>[[388 527]</t>
  </si>
  <si>
    <t xml:space="preserve"> [268 753]]</t>
  </si>
  <si>
    <t>[[303 612]</t>
  </si>
  <si>
    <t xml:space="preserve"> [227 794]]</t>
  </si>
  <si>
    <t>[[663 412]</t>
  </si>
  <si>
    <t xml:space="preserve"> [297 564]]</t>
  </si>
  <si>
    <t>[[672 403]</t>
  </si>
  <si>
    <t xml:space="preserve"> [332 529]]</t>
  </si>
  <si>
    <t>[[945 130]</t>
  </si>
  <si>
    <t xml:space="preserve"> [638 223]]</t>
  </si>
  <si>
    <t>[[589 343]</t>
  </si>
  <si>
    <t xml:space="preserve"> [376 628]]</t>
  </si>
  <si>
    <t>[[591 341]</t>
  </si>
  <si>
    <t xml:space="preserve"> [388 616]]</t>
  </si>
  <si>
    <t>[[679 253]</t>
  </si>
  <si>
    <t xml:space="preserve"> [594 410]]</t>
  </si>
  <si>
    <t>[[160 755]</t>
  </si>
  <si>
    <t xml:space="preserve"> [ 74 947]]</t>
  </si>
  <si>
    <t>[[311 604]</t>
  </si>
  <si>
    <t xml:space="preserve"> [245 776]]</t>
  </si>
  <si>
    <t xml:space="preserve"> [337 684]]</t>
  </si>
  <si>
    <t xml:space="preserve"> [193 768]]</t>
  </si>
  <si>
    <t>[[570 417]</t>
  </si>
  <si>
    <t xml:space="preserve"> [235 726]]</t>
  </si>
  <si>
    <t>[[395 592]</t>
  </si>
  <si>
    <t xml:space="preserve"> [228 733]]</t>
  </si>
  <si>
    <t>[[431 380]</t>
  </si>
  <si>
    <t xml:space="preserve"> [195 942]]</t>
  </si>
  <si>
    <t>[[432 379]</t>
  </si>
  <si>
    <t xml:space="preserve"> [273 864]]</t>
  </si>
  <si>
    <t>[[  61  750]</t>
  </si>
  <si>
    <t xml:space="preserve"> [  49 1088]]</t>
  </si>
  <si>
    <t>[[208 673]</t>
  </si>
  <si>
    <t xml:space="preserve"> [100 967]]</t>
  </si>
  <si>
    <t>[[277 604]</t>
  </si>
  <si>
    <t xml:space="preserve"> [203 864]]</t>
  </si>
  <si>
    <t>[[616 265]</t>
  </si>
  <si>
    <t xml:space="preserve"> [551 516]]</t>
  </si>
  <si>
    <t>[[510 477]</t>
  </si>
  <si>
    <t xml:space="preserve"> [180 781]]</t>
  </si>
  <si>
    <t>[[564 423]</t>
  </si>
  <si>
    <t xml:space="preserve"> [246 715]]</t>
  </si>
  <si>
    <t>[[558 429]</t>
  </si>
  <si>
    <t xml:space="preserve"> [299 662]]</t>
  </si>
  <si>
    <t>[[409 402]</t>
  </si>
  <si>
    <t>[[444 367]</t>
  </si>
  <si>
    <t xml:space="preserve"> [269 868]]</t>
  </si>
  <si>
    <t>[[712  99]</t>
  </si>
  <si>
    <t xml:space="preserve"> [738 399]]</t>
  </si>
  <si>
    <t>[[180 701]</t>
  </si>
  <si>
    <t xml:space="preserve"> [102 965]]</t>
  </si>
  <si>
    <t>[[268 613]</t>
  </si>
  <si>
    <t xml:space="preserve"> [177 890]]</t>
  </si>
  <si>
    <t>[[  83  798]</t>
  </si>
  <si>
    <t xml:space="preserve"> [  67 1000]]</t>
  </si>
  <si>
    <t>[[552 435]</t>
  </si>
  <si>
    <t xml:space="preserve"> [190 771]]</t>
  </si>
  <si>
    <t>[[573 414]</t>
  </si>
  <si>
    <t xml:space="preserve"> [257 704]]</t>
  </si>
  <si>
    <t>[[406 581]</t>
  </si>
  <si>
    <t xml:space="preserve"> [237 724]]</t>
  </si>
  <si>
    <t>[[451 360]</t>
  </si>
  <si>
    <t>[[ 109  702]</t>
  </si>
  <si>
    <t xml:space="preserve"> [  91 1046]]</t>
  </si>
  <si>
    <t>[[223 658]</t>
  </si>
  <si>
    <t xml:space="preserve"> [120 947]]</t>
  </si>
  <si>
    <t>[[286 595]</t>
  </si>
  <si>
    <t xml:space="preserve"> [195 872]]</t>
  </si>
  <si>
    <t>[[339 542]</t>
  </si>
  <si>
    <t xml:space="preserve"> [237 830]]</t>
  </si>
  <si>
    <t xml:space="preserve"> [181 780]]</t>
  </si>
  <si>
    <t xml:space="preserve"> [251 710]]</t>
  </si>
  <si>
    <t>[[607 380]</t>
  </si>
  <si>
    <t xml:space="preserve"> [357 604]]</t>
  </si>
  <si>
    <t>[[449 362]</t>
  </si>
  <si>
    <t xml:space="preserve"> [207 930]]</t>
  </si>
  <si>
    <t>[[467 344]</t>
  </si>
  <si>
    <t xml:space="preserve"> [270 867]]</t>
  </si>
  <si>
    <t>[[688 123]</t>
  </si>
  <si>
    <t xml:space="preserve"> [687 450]]</t>
  </si>
  <si>
    <t>[[301 580]</t>
  </si>
  <si>
    <t xml:space="preserve"> [132 935]]</t>
  </si>
  <si>
    <t>[[317 564]</t>
  </si>
  <si>
    <t>[[674 207]</t>
  </si>
  <si>
    <t xml:space="preserve"> [579 488]]</t>
  </si>
  <si>
    <t>GBC (n)</t>
  </si>
  <si>
    <t>GBC (50)</t>
  </si>
  <si>
    <t>GBC (75)</t>
  </si>
  <si>
    <t>GBC (25)</t>
  </si>
  <si>
    <t>RFC (75)</t>
  </si>
  <si>
    <t>GBC (90)</t>
  </si>
  <si>
    <t>GBC (n, 90)</t>
  </si>
  <si>
    <t>RFC (n)</t>
  </si>
  <si>
    <t>MPLC (90)</t>
  </si>
  <si>
    <t>GBC (50, 75) RFC (n)</t>
  </si>
  <si>
    <t>GBC (75, 90)</t>
  </si>
  <si>
    <t>GBC (25, 50, 75, 90)</t>
  </si>
  <si>
    <t>GBC (n, 25, 75, 90) RFC (n, 75)</t>
  </si>
  <si>
    <t>RFC (n, 75)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</si>
</sst>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"/>
  </numFmts>
  <fonts count="5" x14ac:knownFonts="1">
    <font>
      <sz val="10"/>
      <color indexed="8"/>
      <name val="Helvetica Neue"/>
    </font>
    <font>
      <sz val="12"/>
      <color indexed="8"/>
      <name val="Helvetica Neue"/>
      <family val="2"/>
    </font>
    <font>
      <b/>
      <sz val="10"/>
      <color indexed="8"/>
      <name val="Helvetica Neue"/>
      <family val="2"/>
    </font>
    <font>
      <sz val="10"/>
      <color indexed="8"/>
      <name val="Helvetica Neue"/>
      <family val="2"/>
    </font>
    <font>
      <sz val="10"/>
      <color rgb="FF000000"/>
      <name val="Helvetica Neue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1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0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/>
      <top/>
      <bottom/>
      <diagonal/>
    </border>
    <border>
      <left style="thin">
        <color indexed="10"/>
      </left>
      <right/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7">
    <xf numFmtId="0" fontId="0" fillId="0" borderId="0" xfId="0">
      <alignment vertical="top" wrapText="1"/>
    </xf>
    <xf numFmtId="2" fontId="0" fillId="2" borderId="7" xfId="0" applyNumberFormat="1" applyFill="1" applyBorder="1">
      <alignment vertical="top" wrapText="1"/>
    </xf>
    <xf numFmtId="2" fontId="0" fillId="2" borderId="8" xfId="0" applyNumberFormat="1" applyFill="1" applyBorder="1">
      <alignment vertical="top" wrapText="1"/>
    </xf>
    <xf numFmtId="2" fontId="0" fillId="2" borderId="10" xfId="0" applyNumberFormat="1" applyFill="1" applyBorder="1">
      <alignment vertical="top" wrapText="1"/>
    </xf>
    <xf numFmtId="2" fontId="0" fillId="2" borderId="11" xfId="0" applyNumberFormat="1" applyFill="1" applyBorder="1">
      <alignment vertical="top" wrapText="1"/>
    </xf>
    <xf numFmtId="164" fontId="0" fillId="2" borderId="8" xfId="0" applyNumberFormat="1" applyFill="1" applyBorder="1">
      <alignment vertical="top" wrapText="1"/>
    </xf>
    <xf numFmtId="0" fontId="3" fillId="0" borderId="0" xfId="0" applyFont="1">
      <alignment vertical="top" wrapText="1"/>
    </xf>
    <xf numFmtId="2" fontId="0" fillId="0" borderId="0" xfId="0" applyNumberFormat="1">
      <alignment vertical="top" wrapText="1"/>
    </xf>
    <xf numFmtId="2" fontId="4" fillId="0" borderId="0" xfId="0" applyNumberFormat="1" applyFont="1">
      <alignment vertical="top" wrapText="1"/>
    </xf>
    <xf numFmtId="0" fontId="4" fillId="0" borderId="0" xfId="0" applyFont="1">
      <alignment vertical="top" wrapText="1"/>
    </xf>
    <xf numFmtId="2" fontId="0" fillId="2" borderId="7" xfId="0" applyNumberFormat="1" applyFill="1" applyBorder="1" applyAlignment="1">
      <alignment horizontal="right" vertical="top" wrapText="1"/>
    </xf>
    <xf numFmtId="2" fontId="0" fillId="2" borderId="10" xfId="0" applyNumberFormat="1" applyFill="1" applyBorder="1" applyAlignment="1">
      <alignment horizontal="right" vertical="top" wrapText="1"/>
    </xf>
    <xf numFmtId="2" fontId="0" fillId="2" borderId="11" xfId="0" applyNumberFormat="1" applyFill="1" applyBorder="1" applyAlignment="1">
      <alignment horizontal="right" vertical="top" wrapText="1"/>
    </xf>
    <xf numFmtId="2" fontId="0" fillId="2" borderId="3" xfId="0" applyNumberFormat="1" applyFill="1" applyBorder="1">
      <alignment vertical="top" wrapText="1"/>
    </xf>
    <xf numFmtId="2" fontId="2" fillId="3" borderId="4" xfId="0" applyNumberFormat="1" applyFont="1" applyFill="1" applyBorder="1">
      <alignment vertical="top" wrapText="1"/>
    </xf>
    <xf numFmtId="2" fontId="0" fillId="2" borderId="5" xfId="0" applyNumberFormat="1" applyFill="1" applyBorder="1">
      <alignment vertical="top" wrapText="1"/>
    </xf>
    <xf numFmtId="2" fontId="3" fillId="2" borderId="8" xfId="0" applyNumberFormat="1" applyFont="1" applyFill="1" applyBorder="1" applyAlignment="1">
      <alignment horizontal="right" vertical="top" wrapText="1"/>
    </xf>
    <xf numFmtId="2" fontId="0" fillId="2" borderId="13" xfId="0" applyNumberFormat="1" applyFill="1" applyBorder="1">
      <alignment vertical="top" wrapText="1"/>
    </xf>
    <xf numFmtId="2" fontId="0" fillId="2" borderId="14" xfId="0" applyNumberFormat="1" applyFill="1" applyBorder="1">
      <alignment vertical="top" wrapText="1"/>
    </xf>
    <xf numFmtId="2" fontId="3" fillId="2" borderId="8" xfId="0" applyNumberFormat="1" applyFont="1" applyFill="1" applyBorder="1">
      <alignment vertical="top" wrapText="1"/>
    </xf>
    <xf numFmtId="2" fontId="0" fillId="2" borderId="17" xfId="0" applyNumberFormat="1" applyFill="1" applyBorder="1">
      <alignment vertical="top" wrapText="1"/>
    </xf>
    <xf numFmtId="2" fontId="3" fillId="2" borderId="11" xfId="0" applyNumberFormat="1" applyFont="1" applyFill="1" applyBorder="1" applyAlignment="1">
      <alignment horizontal="right" vertical="top" wrapText="1"/>
    </xf>
    <xf numFmtId="164" fontId="2" fillId="3" borderId="4" xfId="0" applyNumberFormat="1" applyFont="1" applyFill="1" applyBorder="1">
      <alignment vertical="top" wrapText="1"/>
    </xf>
    <xf numFmtId="164" fontId="0" fillId="2" borderId="8" xfId="0" applyNumberFormat="1" applyFill="1" applyBorder="1" applyAlignment="1">
      <alignment horizontal="right" vertical="top" wrapText="1"/>
    </xf>
    <xf numFmtId="164" fontId="0" fillId="2" borderId="11" xfId="0" applyNumberFormat="1" applyFill="1" applyBorder="1" applyAlignment="1">
      <alignment horizontal="right" vertical="top" wrapText="1"/>
    </xf>
    <xf numFmtId="164" fontId="0" fillId="2" borderId="13" xfId="0" applyNumberFormat="1" applyFill="1" applyBorder="1">
      <alignment vertical="top" wrapText="1"/>
    </xf>
    <xf numFmtId="164" fontId="0" fillId="2" borderId="11" xfId="0" applyNumberFormat="1" applyFill="1" applyBorder="1">
      <alignment vertical="top" wrapText="1"/>
    </xf>
    <xf numFmtId="164" fontId="0" fillId="0" borderId="0" xfId="0" applyNumberFormat="1">
      <alignment vertical="top" wrapText="1"/>
    </xf>
    <xf numFmtId="1" fontId="2" fillId="3" borderId="4" xfId="0" applyNumberFormat="1" applyFont="1" applyFill="1" applyBorder="1">
      <alignment vertical="top" wrapText="1"/>
    </xf>
    <xf numFmtId="1" fontId="0" fillId="2" borderId="8" xfId="0" applyNumberFormat="1" applyFill="1" applyBorder="1" applyAlignment="1">
      <alignment horizontal="right" vertical="top" wrapText="1"/>
    </xf>
    <xf numFmtId="1" fontId="0" fillId="2" borderId="11" xfId="0" applyNumberFormat="1" applyFill="1" applyBorder="1" applyAlignment="1">
      <alignment horizontal="right" vertical="top" wrapText="1"/>
    </xf>
    <xf numFmtId="1" fontId="0" fillId="2" borderId="13" xfId="0" applyNumberFormat="1" applyFill="1" applyBorder="1">
      <alignment vertical="top" wrapText="1"/>
    </xf>
    <xf numFmtId="1" fontId="0" fillId="2" borderId="8" xfId="0" applyNumberFormat="1" applyFill="1" applyBorder="1">
      <alignment vertical="top" wrapText="1"/>
    </xf>
    <xf numFmtId="1" fontId="0" fillId="2" borderId="11" xfId="0" applyNumberFormat="1" applyFill="1" applyBorder="1">
      <alignment vertical="top" wrapText="1"/>
    </xf>
    <xf numFmtId="1" fontId="0" fillId="0" borderId="0" xfId="0" applyNumberFormat="1">
      <alignment vertical="top" wrapText="1"/>
    </xf>
    <xf numFmtId="1" fontId="2" fillId="4" borderId="6" xfId="0" applyNumberFormat="1" applyFont="1" applyFill="1" applyBorder="1">
      <alignment vertical="top" wrapText="1"/>
    </xf>
    <xf numFmtId="1" fontId="2" fillId="4" borderId="9" xfId="0" applyNumberFormat="1" applyFont="1" applyFill="1" applyBorder="1">
      <alignment vertical="top" wrapText="1"/>
    </xf>
    <xf numFmtId="1" fontId="2" fillId="4" borderId="9" xfId="0" applyNumberFormat="1" applyFont="1" applyFill="1" applyBorder="1" applyAlignment="1">
      <alignment horizontal="right" vertical="top" wrapText="1"/>
    </xf>
    <xf numFmtId="1" fontId="0" fillId="2" borderId="12" xfId="0" applyNumberFormat="1" applyFill="1" applyBorder="1">
      <alignment vertical="top" wrapText="1"/>
    </xf>
    <xf numFmtId="164" fontId="4" fillId="0" borderId="0" xfId="0" applyNumberFormat="1" applyFont="1">
      <alignment vertical="top" wrapText="1"/>
    </xf>
    <xf numFmtId="2" fontId="3" fillId="2" borderId="7" xfId="0" applyNumberFormat="1" applyFont="1" applyFill="1" applyBorder="1">
      <alignment vertical="top" wrapText="1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2" borderId="16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2" fontId="3" fillId="0" borderId="0" xfId="0" applyNumberFormat="1" applyFont="1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showGridLines="0" topLeftCell="D1" zoomScaleNormal="29" workbookViewId="0">
      <selection activeCell="D1" sqref="A1:XFD1048576"/>
    </sheetView>
  </sheetViews>
  <sheetFormatPr baseColWidth="10" defaultColWidth="16.33203125" defaultRowHeight="20" customHeight="1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0.76</v>
      </c>
      <c r="C3" s="16">
        <v>0.63</v>
      </c>
      <c r="D3" s="16">
        <v>0.69</v>
      </c>
      <c r="E3" s="29">
        <v>192</v>
      </c>
      <c r="F3" s="16" t="s">
        <v>43</v>
      </c>
      <c r="G3" s="23">
        <v>0.68154252283104999</v>
      </c>
      <c r="H3" s="15"/>
      <c r="I3" s="35">
        <v>0</v>
      </c>
      <c r="J3" s="10">
        <v>0.68</v>
      </c>
      <c r="K3" s="16">
        <v>0.63</v>
      </c>
      <c r="L3" s="16">
        <v>0.65</v>
      </c>
      <c r="M3" s="29">
        <v>1076</v>
      </c>
      <c r="N3" s="16" t="s">
        <v>59</v>
      </c>
      <c r="O3" s="23">
        <v>0.631220281836258</v>
      </c>
      <c r="P3" s="15"/>
      <c r="Q3" s="35">
        <v>0</v>
      </c>
      <c r="R3" s="10">
        <v>0.73</v>
      </c>
      <c r="S3" s="16">
        <v>0.54</v>
      </c>
      <c r="T3" s="16">
        <v>0.62</v>
      </c>
      <c r="U3" s="29">
        <v>987</v>
      </c>
      <c r="V3" s="16" t="s">
        <v>77</v>
      </c>
      <c r="W3" s="23">
        <v>0.66704726480669096</v>
      </c>
    </row>
    <row r="4" spans="1:23" ht="15" customHeight="1" x14ac:dyDescent="0.15">
      <c r="A4" s="36">
        <v>1</v>
      </c>
      <c r="B4" s="11">
        <v>0.6</v>
      </c>
      <c r="C4" s="12">
        <v>0.73</v>
      </c>
      <c r="D4" s="12">
        <v>0.66</v>
      </c>
      <c r="E4" s="30">
        <v>146</v>
      </c>
      <c r="F4" s="12" t="s">
        <v>44</v>
      </c>
      <c r="G4" s="24"/>
      <c r="H4" s="15"/>
      <c r="I4" s="36">
        <v>1</v>
      </c>
      <c r="J4" s="11">
        <v>0.57999999999999996</v>
      </c>
      <c r="K4" s="12">
        <v>0.64</v>
      </c>
      <c r="L4" s="12">
        <v>0.6</v>
      </c>
      <c r="M4" s="30">
        <v>860</v>
      </c>
      <c r="N4" s="12" t="s">
        <v>60</v>
      </c>
      <c r="O4" s="24"/>
      <c r="P4" s="15"/>
      <c r="Q4" s="36">
        <v>1</v>
      </c>
      <c r="R4" s="11">
        <v>0.63</v>
      </c>
      <c r="S4" s="12">
        <v>0.8</v>
      </c>
      <c r="T4" s="12">
        <v>0.7</v>
      </c>
      <c r="U4" s="30">
        <v>961</v>
      </c>
      <c r="V4" s="12" t="s">
        <v>78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0.67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0.68</v>
      </c>
      <c r="C6" s="12">
        <v>0.68</v>
      </c>
      <c r="D6" s="12">
        <v>0.67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0.63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0.67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0.69</v>
      </c>
      <c r="C7" s="12">
        <v>0.67</v>
      </c>
      <c r="D7" s="12">
        <v>0.68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0.67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0.66</v>
      </c>
      <c r="C11" s="2">
        <v>0.76</v>
      </c>
      <c r="D11" s="2">
        <v>0.71</v>
      </c>
      <c r="E11" s="32">
        <v>192</v>
      </c>
      <c r="F11" s="19" t="s">
        <v>41</v>
      </c>
      <c r="G11" s="5">
        <v>0.62417950913242004</v>
      </c>
      <c r="H11" s="15"/>
      <c r="I11" s="35">
        <v>0</v>
      </c>
      <c r="J11" s="1">
        <v>0.68</v>
      </c>
      <c r="K11" s="2">
        <v>0.64</v>
      </c>
      <c r="L11" s="2">
        <v>0.66</v>
      </c>
      <c r="M11" s="32">
        <v>1076</v>
      </c>
      <c r="N11" s="19" t="s">
        <v>61</v>
      </c>
      <c r="O11" s="5">
        <v>0.63167848188813003</v>
      </c>
      <c r="P11" s="15"/>
      <c r="Q11" s="35">
        <v>0</v>
      </c>
      <c r="R11" s="1">
        <v>0.68</v>
      </c>
      <c r="S11" s="2">
        <v>0.56999999999999995</v>
      </c>
      <c r="T11" s="2">
        <v>0.62</v>
      </c>
      <c r="U11" s="32">
        <v>987</v>
      </c>
      <c r="V11" s="19" t="s">
        <v>79</v>
      </c>
      <c r="W11" s="5">
        <v>0.64990453417845095</v>
      </c>
    </row>
    <row r="12" spans="1:23" ht="15" customHeight="1" x14ac:dyDescent="0.15">
      <c r="A12" s="36">
        <v>1</v>
      </c>
      <c r="B12" s="3">
        <v>0.61</v>
      </c>
      <c r="C12" s="4">
        <v>0.49</v>
      </c>
      <c r="D12" s="4">
        <v>0.54</v>
      </c>
      <c r="E12" s="33">
        <v>146</v>
      </c>
      <c r="F12" s="4" t="s">
        <v>42</v>
      </c>
      <c r="G12" s="26"/>
      <c r="H12" s="15"/>
      <c r="I12" s="36">
        <v>1</v>
      </c>
      <c r="J12" s="3">
        <v>0.57999999999999996</v>
      </c>
      <c r="K12" s="4">
        <v>0.62</v>
      </c>
      <c r="L12" s="4">
        <v>0.6</v>
      </c>
      <c r="M12" s="33">
        <v>860</v>
      </c>
      <c r="N12" s="4" t="s">
        <v>62</v>
      </c>
      <c r="O12" s="26"/>
      <c r="P12" s="15"/>
      <c r="Q12" s="36">
        <v>1</v>
      </c>
      <c r="R12" s="3">
        <v>0.62</v>
      </c>
      <c r="S12" s="4">
        <v>0.73</v>
      </c>
      <c r="T12" s="4">
        <v>0.67</v>
      </c>
      <c r="U12" s="33">
        <v>961</v>
      </c>
      <c r="V12" s="4" t="s">
        <v>80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0.64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0.63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0.65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0.63</v>
      </c>
      <c r="C14" s="4">
        <v>0.62</v>
      </c>
      <c r="D14" s="4">
        <v>0.62</v>
      </c>
      <c r="E14" s="33">
        <v>338</v>
      </c>
      <c r="F14" s="4"/>
      <c r="G14" s="26"/>
      <c r="H14" s="15"/>
      <c r="I14" s="37" t="s">
        <v>97</v>
      </c>
      <c r="J14" s="3">
        <v>0.63</v>
      </c>
      <c r="K14" s="4">
        <v>0.63</v>
      </c>
      <c r="L14" s="4">
        <v>0.63</v>
      </c>
      <c r="M14" s="33">
        <v>1936</v>
      </c>
      <c r="N14" s="4"/>
      <c r="O14" s="26"/>
      <c r="P14" s="15"/>
      <c r="Q14" s="37" t="s">
        <v>97</v>
      </c>
      <c r="R14" s="3">
        <v>0.65</v>
      </c>
      <c r="S14" s="4">
        <v>0.65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0.64</v>
      </c>
      <c r="C15" s="4">
        <v>0.64</v>
      </c>
      <c r="D15" s="4">
        <v>0.64</v>
      </c>
      <c r="E15" s="33">
        <v>338</v>
      </c>
      <c r="F15" s="4"/>
      <c r="G15" s="26"/>
      <c r="H15" s="15"/>
      <c r="I15" s="37" t="s">
        <v>98</v>
      </c>
      <c r="J15" s="3">
        <v>0.64</v>
      </c>
      <c r="K15" s="4">
        <v>0.63</v>
      </c>
      <c r="L15" s="4">
        <v>0.63</v>
      </c>
      <c r="M15" s="33">
        <v>1936</v>
      </c>
      <c r="N15" s="4"/>
      <c r="O15" s="26"/>
      <c r="P15" s="15"/>
      <c r="Q15" s="37" t="s">
        <v>98</v>
      </c>
      <c r="R15" s="3">
        <v>0.65</v>
      </c>
      <c r="S15" s="4">
        <v>0.65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0.61</v>
      </c>
      <c r="C19" s="2">
        <v>0.59</v>
      </c>
      <c r="D19" s="2">
        <v>0.6</v>
      </c>
      <c r="E19" s="32">
        <v>192</v>
      </c>
      <c r="F19" s="2" t="s">
        <v>45</v>
      </c>
      <c r="G19" s="5">
        <v>0.546875</v>
      </c>
      <c r="H19" s="15"/>
      <c r="I19" s="35">
        <v>0</v>
      </c>
      <c r="J19" s="1">
        <v>0.65</v>
      </c>
      <c r="K19" s="2">
        <v>0.64</v>
      </c>
      <c r="L19" s="2">
        <v>0.64</v>
      </c>
      <c r="M19" s="32">
        <v>1076</v>
      </c>
      <c r="N19" s="2" t="s">
        <v>63</v>
      </c>
      <c r="O19" s="5">
        <v>0.60389037779890997</v>
      </c>
      <c r="P19" s="15"/>
      <c r="Q19" s="35">
        <v>0</v>
      </c>
      <c r="R19" s="1">
        <v>0.65</v>
      </c>
      <c r="S19" s="2">
        <v>0.5</v>
      </c>
      <c r="T19" s="2">
        <v>0.56999999999999995</v>
      </c>
      <c r="U19" s="32">
        <v>987</v>
      </c>
      <c r="V19" s="2" t="s">
        <v>81</v>
      </c>
      <c r="W19" s="5">
        <v>0.61291007868154901</v>
      </c>
    </row>
    <row r="20" spans="1:23" ht="15" customHeight="1" x14ac:dyDescent="0.15">
      <c r="A20" s="36">
        <v>1</v>
      </c>
      <c r="B20" s="3">
        <v>0.48</v>
      </c>
      <c r="C20" s="4">
        <v>0.5</v>
      </c>
      <c r="D20" s="4">
        <v>0.49</v>
      </c>
      <c r="E20" s="33">
        <v>146</v>
      </c>
      <c r="F20" s="4" t="s">
        <v>46</v>
      </c>
      <c r="G20" s="26"/>
      <c r="H20" s="15"/>
      <c r="I20" s="36">
        <v>1</v>
      </c>
      <c r="J20" s="3">
        <v>0.56000000000000005</v>
      </c>
      <c r="K20" s="4">
        <v>0.56999999999999995</v>
      </c>
      <c r="L20" s="4">
        <v>0.56000000000000005</v>
      </c>
      <c r="M20" s="33">
        <v>860</v>
      </c>
      <c r="N20" s="4" t="s">
        <v>64</v>
      </c>
      <c r="O20" s="26"/>
      <c r="P20" s="15"/>
      <c r="Q20" s="36">
        <v>1</v>
      </c>
      <c r="R20" s="3">
        <v>0.59</v>
      </c>
      <c r="S20" s="4">
        <v>0.73</v>
      </c>
      <c r="T20" s="4">
        <v>0.65</v>
      </c>
      <c r="U20" s="33">
        <v>961</v>
      </c>
      <c r="V20" s="4" t="s">
        <v>82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0.55000000000000004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0.61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0.61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0.55000000000000004</v>
      </c>
      <c r="C22" s="4">
        <v>0.55000000000000004</v>
      </c>
      <c r="D22" s="4">
        <v>0.55000000000000004</v>
      </c>
      <c r="E22" s="33">
        <v>338</v>
      </c>
      <c r="F22" s="4"/>
      <c r="G22" s="26"/>
      <c r="H22" s="15"/>
      <c r="I22" s="37" t="s">
        <v>97</v>
      </c>
      <c r="J22" s="3">
        <v>0.6</v>
      </c>
      <c r="K22" s="4">
        <v>0.6</v>
      </c>
      <c r="L22" s="4">
        <v>0.6</v>
      </c>
      <c r="M22" s="33">
        <v>1936</v>
      </c>
      <c r="N22" s="4"/>
      <c r="O22" s="26"/>
      <c r="P22" s="15"/>
      <c r="Q22" s="37" t="s">
        <v>97</v>
      </c>
      <c r="R22" s="3">
        <v>0.62</v>
      </c>
      <c r="S22" s="4">
        <v>0.61</v>
      </c>
      <c r="T22" s="4">
        <v>0.61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0.56000000000000005</v>
      </c>
      <c r="C23" s="4">
        <v>0.55000000000000004</v>
      </c>
      <c r="D23" s="4">
        <v>0.55000000000000004</v>
      </c>
      <c r="E23" s="33">
        <v>338</v>
      </c>
      <c r="F23" s="4"/>
      <c r="G23" s="26"/>
      <c r="H23" s="15"/>
      <c r="I23" s="37" t="s">
        <v>98</v>
      </c>
      <c r="J23" s="3">
        <v>0.61</v>
      </c>
      <c r="K23" s="4">
        <v>0.61</v>
      </c>
      <c r="L23" s="4">
        <v>0.61</v>
      </c>
      <c r="M23" s="33">
        <v>1936</v>
      </c>
      <c r="N23" s="4"/>
      <c r="O23" s="26"/>
      <c r="P23" s="15"/>
      <c r="Q23" s="37" t="s">
        <v>98</v>
      </c>
      <c r="R23" s="3">
        <v>0.62</v>
      </c>
      <c r="S23" s="4">
        <v>0.61</v>
      </c>
      <c r="T23" s="4">
        <v>0.61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</v>
      </c>
      <c r="C27" s="2">
        <v>0.69</v>
      </c>
      <c r="D27" s="2">
        <v>0.64</v>
      </c>
      <c r="E27" s="32">
        <v>162</v>
      </c>
      <c r="F27" s="2" t="s">
        <v>47</v>
      </c>
      <c r="G27" s="5">
        <v>0.63236531986531896</v>
      </c>
      <c r="H27" s="15"/>
      <c r="I27" s="35">
        <v>0</v>
      </c>
      <c r="J27" s="1">
        <v>0.62</v>
      </c>
      <c r="K27" s="2">
        <v>0.57999999999999996</v>
      </c>
      <c r="L27" s="2">
        <v>0.6</v>
      </c>
      <c r="M27" s="32">
        <v>934</v>
      </c>
      <c r="N27" s="2" t="s">
        <v>65</v>
      </c>
      <c r="O27" s="5">
        <v>0.62394589835318603</v>
      </c>
      <c r="P27" s="15"/>
      <c r="Q27" s="35">
        <v>0</v>
      </c>
      <c r="R27" s="1">
        <v>0.69</v>
      </c>
      <c r="S27" s="2">
        <v>0.5</v>
      </c>
      <c r="T27" s="2">
        <v>0.57999999999999996</v>
      </c>
      <c r="U27" s="32">
        <v>808</v>
      </c>
      <c r="V27" s="2" t="s">
        <v>83</v>
      </c>
      <c r="W27" s="5">
        <v>0.67025360430779901</v>
      </c>
    </row>
    <row r="28" spans="1:23" ht="15" customHeight="1" x14ac:dyDescent="0.15">
      <c r="A28" s="36">
        <v>1</v>
      </c>
      <c r="B28" s="3">
        <v>0.67</v>
      </c>
      <c r="C28" s="4">
        <v>0.57999999999999996</v>
      </c>
      <c r="D28" s="4">
        <v>0.62</v>
      </c>
      <c r="E28" s="33">
        <v>176</v>
      </c>
      <c r="F28" s="4" t="s">
        <v>48</v>
      </c>
      <c r="G28" s="26"/>
      <c r="H28" s="15"/>
      <c r="I28" s="36">
        <v>1</v>
      </c>
      <c r="J28" s="3">
        <v>0.63</v>
      </c>
      <c r="K28" s="4">
        <v>0.67</v>
      </c>
      <c r="L28" s="4">
        <v>0.65</v>
      </c>
      <c r="M28" s="33">
        <v>1002</v>
      </c>
      <c r="N28" s="4" t="s">
        <v>66</v>
      </c>
      <c r="O28" s="26"/>
      <c r="P28" s="15"/>
      <c r="Q28" s="36">
        <v>1</v>
      </c>
      <c r="R28" s="3">
        <v>0.7</v>
      </c>
      <c r="S28" s="4">
        <v>0.84</v>
      </c>
      <c r="T28" s="4">
        <v>0.77</v>
      </c>
      <c r="U28" s="33">
        <v>1140</v>
      </c>
      <c r="V28" s="4" t="s">
        <v>84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0.63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0.63</v>
      </c>
      <c r="C30" s="4">
        <v>0.63</v>
      </c>
      <c r="D30" s="4">
        <v>0.63</v>
      </c>
      <c r="E30" s="33">
        <v>338</v>
      </c>
      <c r="F30" s="4"/>
      <c r="G30" s="26"/>
      <c r="H30" s="15"/>
      <c r="I30" s="37" t="s">
        <v>97</v>
      </c>
      <c r="J30" s="3">
        <v>0.62</v>
      </c>
      <c r="K30" s="4">
        <v>0.62</v>
      </c>
      <c r="L30" s="4">
        <v>0.62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0.67</v>
      </c>
      <c r="T30" s="4">
        <v>0.67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0.63</v>
      </c>
      <c r="C31" s="4">
        <v>0.63</v>
      </c>
      <c r="D31" s="4">
        <v>0.63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0.62</v>
      </c>
      <c r="M31" s="33">
        <v>1936</v>
      </c>
      <c r="N31" s="4"/>
      <c r="O31" s="26"/>
      <c r="P31" s="15"/>
      <c r="Q31" s="37" t="s">
        <v>98</v>
      </c>
      <c r="R31" s="3">
        <v>0.7</v>
      </c>
      <c r="S31" s="4">
        <v>0.7</v>
      </c>
      <c r="T31" s="4">
        <v>0.69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0.55000000000000004</v>
      </c>
      <c r="C35" s="2">
        <v>0.72</v>
      </c>
      <c r="D35" s="2">
        <v>0.62</v>
      </c>
      <c r="E35" s="32">
        <v>162</v>
      </c>
      <c r="F35" s="2" t="s">
        <v>49</v>
      </c>
      <c r="G35" s="5">
        <v>0.59097923681257003</v>
      </c>
      <c r="H35" s="15"/>
      <c r="I35" s="35">
        <v>0</v>
      </c>
      <c r="J35" s="1">
        <v>0.6</v>
      </c>
      <c r="K35" s="2">
        <v>0.63</v>
      </c>
      <c r="L35" s="2">
        <v>0.62</v>
      </c>
      <c r="M35" s="32">
        <v>934</v>
      </c>
      <c r="N35" s="2" t="s">
        <v>67</v>
      </c>
      <c r="O35" s="5">
        <v>0.62023704197600504</v>
      </c>
      <c r="P35" s="15"/>
      <c r="Q35" s="35">
        <v>0</v>
      </c>
      <c r="R35" s="1">
        <v>0.63</v>
      </c>
      <c r="S35" s="2">
        <v>0.57999999999999996</v>
      </c>
      <c r="T35" s="2">
        <v>0.6</v>
      </c>
      <c r="U35" s="32">
        <v>808</v>
      </c>
      <c r="V35" s="2" t="s">
        <v>85</v>
      </c>
      <c r="W35" s="5">
        <v>0.66767413583463597</v>
      </c>
    </row>
    <row r="36" spans="1:23" ht="15" customHeight="1" x14ac:dyDescent="0.15">
      <c r="A36" s="36">
        <v>1</v>
      </c>
      <c r="B36" s="3">
        <v>0.64</v>
      </c>
      <c r="C36" s="4">
        <v>0.47</v>
      </c>
      <c r="D36" s="4">
        <v>0.54</v>
      </c>
      <c r="E36" s="33">
        <v>176</v>
      </c>
      <c r="F36" s="4" t="s">
        <v>50</v>
      </c>
      <c r="G36" s="26"/>
      <c r="H36" s="15"/>
      <c r="I36" s="36">
        <v>1</v>
      </c>
      <c r="J36" s="3">
        <v>0.64</v>
      </c>
      <c r="K36" s="4">
        <v>0.61</v>
      </c>
      <c r="L36" s="4">
        <v>0.62</v>
      </c>
      <c r="M36" s="33">
        <v>1002</v>
      </c>
      <c r="N36" s="4" t="s">
        <v>68</v>
      </c>
      <c r="O36" s="26"/>
      <c r="P36" s="15"/>
      <c r="Q36" s="36">
        <v>1</v>
      </c>
      <c r="R36" s="3">
        <v>0.72</v>
      </c>
      <c r="S36" s="4">
        <v>0.76</v>
      </c>
      <c r="T36" s="4">
        <v>0.74</v>
      </c>
      <c r="U36" s="33">
        <v>1140</v>
      </c>
      <c r="V36" s="4" t="s">
        <v>86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0.59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</v>
      </c>
      <c r="C38" s="4">
        <v>0.59</v>
      </c>
      <c r="D38" s="4">
        <v>0.57999999999999996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0.67</v>
      </c>
      <c r="T38" s="4">
        <v>0.67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</v>
      </c>
      <c r="C39" s="4">
        <v>0.59</v>
      </c>
      <c r="D39" s="4">
        <v>0.57999999999999996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0.68</v>
      </c>
      <c r="S39" s="4">
        <v>0.68</v>
      </c>
      <c r="T39" s="4">
        <v>0.68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</v>
      </c>
      <c r="C43" s="2">
        <v>0.67</v>
      </c>
      <c r="D43" s="2">
        <v>0.56999999999999995</v>
      </c>
      <c r="E43" s="32">
        <v>162</v>
      </c>
      <c r="F43" s="2" t="s">
        <v>51</v>
      </c>
      <c r="G43" s="5">
        <v>0.52935606060606</v>
      </c>
      <c r="H43" s="15"/>
      <c r="I43" s="35">
        <v>0</v>
      </c>
      <c r="J43" s="1">
        <v>0.6</v>
      </c>
      <c r="K43" s="2">
        <v>0.5</v>
      </c>
      <c r="L43" s="2">
        <v>0.55000000000000004</v>
      </c>
      <c r="M43" s="32">
        <v>934</v>
      </c>
      <c r="N43" s="2" t="s">
        <v>69</v>
      </c>
      <c r="O43" s="5">
        <v>0.59295969089657896</v>
      </c>
      <c r="P43" s="15"/>
      <c r="Q43" s="35">
        <v>0</v>
      </c>
      <c r="R43" s="1">
        <v>0.66</v>
      </c>
      <c r="S43" s="2">
        <v>0.14000000000000001</v>
      </c>
      <c r="T43" s="2">
        <v>0.23</v>
      </c>
      <c r="U43" s="32">
        <v>808</v>
      </c>
      <c r="V43" s="2" t="s">
        <v>87</v>
      </c>
      <c r="W43" s="5">
        <v>0.54528617335417695</v>
      </c>
    </row>
    <row r="44" spans="1:23" ht="15" customHeight="1" x14ac:dyDescent="0.15">
      <c r="A44" s="36">
        <v>1</v>
      </c>
      <c r="B44" s="3">
        <v>0.56000000000000005</v>
      </c>
      <c r="C44" s="4">
        <v>0.39</v>
      </c>
      <c r="D44" s="4">
        <v>0.46</v>
      </c>
      <c r="E44" s="33">
        <v>176</v>
      </c>
      <c r="F44" s="4" t="s">
        <v>52</v>
      </c>
      <c r="G44" s="26"/>
      <c r="H44" s="15"/>
      <c r="I44" s="36">
        <v>1</v>
      </c>
      <c r="J44" s="3">
        <v>0.6</v>
      </c>
      <c r="K44" s="4">
        <v>0.68</v>
      </c>
      <c r="L44" s="4">
        <v>0.64</v>
      </c>
      <c r="M44" s="33">
        <v>1002</v>
      </c>
      <c r="N44" s="4" t="s">
        <v>70</v>
      </c>
      <c r="O44" s="26"/>
      <c r="P44" s="15"/>
      <c r="Q44" s="36">
        <v>1</v>
      </c>
      <c r="R44" s="3">
        <v>0.61</v>
      </c>
      <c r="S44" s="4">
        <v>0.95</v>
      </c>
      <c r="T44" s="4">
        <v>0.74</v>
      </c>
      <c r="U44" s="33">
        <v>1140</v>
      </c>
      <c r="V44" s="4" t="s">
        <v>88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0.52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0.6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0.61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0.53</v>
      </c>
      <c r="C46" s="4">
        <v>0.53</v>
      </c>
      <c r="D46" s="4">
        <v>0.52</v>
      </c>
      <c r="E46" s="33">
        <v>338</v>
      </c>
      <c r="F46" s="4"/>
      <c r="G46" s="26"/>
      <c r="H46" s="15"/>
      <c r="I46" s="37" t="s">
        <v>97</v>
      </c>
      <c r="J46" s="3">
        <v>0.6</v>
      </c>
      <c r="K46" s="4">
        <v>0.59</v>
      </c>
      <c r="L46" s="4">
        <v>0.59</v>
      </c>
      <c r="M46" s="33">
        <v>1936</v>
      </c>
      <c r="N46" s="4"/>
      <c r="O46" s="26"/>
      <c r="P46" s="15"/>
      <c r="Q46" s="37" t="s">
        <v>97</v>
      </c>
      <c r="R46" s="3">
        <v>0.64</v>
      </c>
      <c r="S46" s="4">
        <v>0.55000000000000004</v>
      </c>
      <c r="T46" s="4">
        <v>0.49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0.53</v>
      </c>
      <c r="C47" s="4">
        <v>0.52</v>
      </c>
      <c r="D47" s="4">
        <v>0.51</v>
      </c>
      <c r="E47" s="33">
        <v>338</v>
      </c>
      <c r="F47" s="4"/>
      <c r="G47" s="26"/>
      <c r="H47" s="15"/>
      <c r="I47" s="37" t="s">
        <v>98</v>
      </c>
      <c r="J47" s="3">
        <v>0.6</v>
      </c>
      <c r="K47" s="4">
        <v>0.6</v>
      </c>
      <c r="L47" s="4">
        <v>0.59</v>
      </c>
      <c r="M47" s="33">
        <v>1936</v>
      </c>
      <c r="N47" s="4"/>
      <c r="O47" s="26"/>
      <c r="P47" s="15"/>
      <c r="Q47" s="37" t="s">
        <v>98</v>
      </c>
      <c r="R47" s="3">
        <v>0.63</v>
      </c>
      <c r="S47" s="4">
        <v>0.61</v>
      </c>
      <c r="T47" s="4">
        <v>0.53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0.63</v>
      </c>
      <c r="C51" s="2">
        <v>0.33</v>
      </c>
      <c r="D51" s="2">
        <v>0.43</v>
      </c>
      <c r="E51" s="32">
        <v>163</v>
      </c>
      <c r="F51" s="2" t="s">
        <v>53</v>
      </c>
      <c r="G51" s="5">
        <v>0.57421560035056896</v>
      </c>
      <c r="H51" s="15"/>
      <c r="I51" s="35">
        <v>0</v>
      </c>
      <c r="J51" s="1">
        <v>0.66</v>
      </c>
      <c r="K51" s="2">
        <v>0.33</v>
      </c>
      <c r="L51" s="2">
        <v>0.44</v>
      </c>
      <c r="M51" s="32">
        <v>915</v>
      </c>
      <c r="N51" s="2" t="s">
        <v>71</v>
      </c>
      <c r="O51" s="5">
        <v>0.58949759958895898</v>
      </c>
      <c r="P51" s="15"/>
      <c r="Q51" s="35">
        <v>0</v>
      </c>
      <c r="R51" s="1">
        <v>0.65</v>
      </c>
      <c r="S51" s="2">
        <v>0.37</v>
      </c>
      <c r="T51" s="2">
        <v>0.47</v>
      </c>
      <c r="U51" s="32">
        <v>881</v>
      </c>
      <c r="V51" s="2" t="s">
        <v>89</v>
      </c>
      <c r="W51" s="5">
        <v>0.60027265174298094</v>
      </c>
    </row>
    <row r="52" spans="1:23" ht="15" customHeight="1" x14ac:dyDescent="0.15">
      <c r="A52" s="36">
        <v>1</v>
      </c>
      <c r="B52" s="3">
        <v>0.56999999999999995</v>
      </c>
      <c r="C52" s="4">
        <v>0.82</v>
      </c>
      <c r="D52" s="4">
        <v>0.67</v>
      </c>
      <c r="E52" s="33">
        <v>175</v>
      </c>
      <c r="F52" s="4" t="s">
        <v>54</v>
      </c>
      <c r="G52" s="26"/>
      <c r="H52" s="15"/>
      <c r="I52" s="36">
        <v>1</v>
      </c>
      <c r="J52" s="3">
        <v>0.59</v>
      </c>
      <c r="K52" s="4">
        <v>0.85</v>
      </c>
      <c r="L52" s="4">
        <v>0.69</v>
      </c>
      <c r="M52" s="33">
        <v>1021</v>
      </c>
      <c r="N52" s="4" t="s">
        <v>72</v>
      </c>
      <c r="O52" s="26"/>
      <c r="P52" s="15"/>
      <c r="Q52" s="36">
        <v>1</v>
      </c>
      <c r="R52" s="3">
        <v>0.61</v>
      </c>
      <c r="S52" s="4">
        <v>0.84</v>
      </c>
      <c r="T52" s="4">
        <v>0.71</v>
      </c>
      <c r="U52" s="33">
        <v>1067</v>
      </c>
      <c r="V52" s="4" t="s">
        <v>90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0.57999999999999996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0.6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0.62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</v>
      </c>
      <c r="C54" s="4">
        <v>0.56999999999999995</v>
      </c>
      <c r="D54" s="4">
        <v>0.55000000000000004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0.59</v>
      </c>
      <c r="L54" s="4">
        <v>0.56999999999999995</v>
      </c>
      <c r="M54" s="33">
        <v>1936</v>
      </c>
      <c r="N54" s="4"/>
      <c r="O54" s="26"/>
      <c r="P54" s="15"/>
      <c r="Q54" s="37" t="s">
        <v>97</v>
      </c>
      <c r="R54" s="3">
        <v>0.63</v>
      </c>
      <c r="S54" s="4">
        <v>0.6</v>
      </c>
      <c r="T54" s="4">
        <v>0.59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</v>
      </c>
      <c r="C55" s="4">
        <v>0.57999999999999996</v>
      </c>
      <c r="D55" s="4">
        <v>0.56000000000000005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0.6</v>
      </c>
      <c r="L55" s="4">
        <v>0.56999999999999995</v>
      </c>
      <c r="M55" s="33">
        <v>1936</v>
      </c>
      <c r="N55" s="4"/>
      <c r="O55" s="26"/>
      <c r="P55" s="15"/>
      <c r="Q55" s="37" t="s">
        <v>98</v>
      </c>
      <c r="R55" s="3">
        <v>0.63</v>
      </c>
      <c r="S55" s="4">
        <v>0.62</v>
      </c>
      <c r="T55" s="4">
        <v>0.6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0.57999999999999996</v>
      </c>
      <c r="C59" s="2">
        <v>0.48</v>
      </c>
      <c r="D59" s="2">
        <v>0.52</v>
      </c>
      <c r="E59" s="32">
        <v>163</v>
      </c>
      <c r="F59" s="2" t="s">
        <v>55</v>
      </c>
      <c r="G59" s="5">
        <v>0.57640666082383796</v>
      </c>
      <c r="H59" s="15"/>
      <c r="I59" s="35">
        <v>0</v>
      </c>
      <c r="J59" s="1">
        <v>0.6</v>
      </c>
      <c r="K59" s="2">
        <v>0.44</v>
      </c>
      <c r="L59" s="2">
        <v>0.51</v>
      </c>
      <c r="M59" s="32">
        <v>915</v>
      </c>
      <c r="N59" s="2" t="s">
        <v>73</v>
      </c>
      <c r="O59" s="5">
        <v>0.58837152047440899</v>
      </c>
      <c r="P59" s="15"/>
      <c r="Q59" s="35">
        <v>0</v>
      </c>
      <c r="R59" s="1">
        <v>0.62</v>
      </c>
      <c r="S59" s="2">
        <v>0.38</v>
      </c>
      <c r="T59" s="2">
        <v>0.47</v>
      </c>
      <c r="U59" s="32">
        <v>881</v>
      </c>
      <c r="V59" s="2" t="s">
        <v>91</v>
      </c>
      <c r="W59" s="5">
        <v>0.59319679115599799</v>
      </c>
    </row>
    <row r="60" spans="1:23" ht="15" customHeight="1" x14ac:dyDescent="0.15">
      <c r="A60" s="36">
        <v>1</v>
      </c>
      <c r="B60" s="3">
        <v>0.57999999999999996</v>
      </c>
      <c r="C60" s="4">
        <v>0.67</v>
      </c>
      <c r="D60" s="4">
        <v>0.62</v>
      </c>
      <c r="E60" s="33">
        <v>175</v>
      </c>
      <c r="F60" s="4" t="s">
        <v>56</v>
      </c>
      <c r="G60" s="26"/>
      <c r="H60" s="15"/>
      <c r="I60" s="36">
        <v>1</v>
      </c>
      <c r="J60" s="3">
        <v>0.59</v>
      </c>
      <c r="K60" s="4">
        <v>0.74</v>
      </c>
      <c r="L60" s="4">
        <v>0.66</v>
      </c>
      <c r="M60" s="33">
        <v>1021</v>
      </c>
      <c r="N60" s="4" t="s">
        <v>74</v>
      </c>
      <c r="O60" s="26"/>
      <c r="P60" s="15"/>
      <c r="Q60" s="36">
        <v>1</v>
      </c>
      <c r="R60" s="3">
        <v>0.61</v>
      </c>
      <c r="S60" s="4">
        <v>0.81</v>
      </c>
      <c r="T60" s="4">
        <v>0.7</v>
      </c>
      <c r="U60" s="33">
        <v>1067</v>
      </c>
      <c r="V60" s="4" t="s">
        <v>92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0.57999999999999996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0.6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0.61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0.57999999999999996</v>
      </c>
      <c r="C62" s="4">
        <v>0.57999999999999996</v>
      </c>
      <c r="D62" s="4">
        <v>0.56999999999999995</v>
      </c>
      <c r="E62" s="33">
        <v>338</v>
      </c>
      <c r="F62" s="4"/>
      <c r="G62" s="26"/>
      <c r="H62" s="15"/>
      <c r="I62" s="37" t="s">
        <v>97</v>
      </c>
      <c r="J62" s="3">
        <v>0.6</v>
      </c>
      <c r="K62" s="4">
        <v>0.59</v>
      </c>
      <c r="L62" s="4">
        <v>0.57999999999999996</v>
      </c>
      <c r="M62" s="33">
        <v>1936</v>
      </c>
      <c r="N62" s="4"/>
      <c r="O62" s="26"/>
      <c r="P62" s="15"/>
      <c r="Q62" s="37" t="s">
        <v>97</v>
      </c>
      <c r="R62" s="3">
        <v>0.62</v>
      </c>
      <c r="S62" s="4">
        <v>0.59</v>
      </c>
      <c r="T62" s="4">
        <v>0.57999999999999996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0.57999999999999996</v>
      </c>
      <c r="C63" s="4">
        <v>0.57999999999999996</v>
      </c>
      <c r="D63" s="4">
        <v>0.57999999999999996</v>
      </c>
      <c r="E63" s="33">
        <v>338</v>
      </c>
      <c r="F63" s="4"/>
      <c r="G63" s="26"/>
      <c r="H63" s="15"/>
      <c r="I63" s="37" t="s">
        <v>98</v>
      </c>
      <c r="J63" s="3">
        <v>0.6</v>
      </c>
      <c r="K63" s="4">
        <v>0.6</v>
      </c>
      <c r="L63" s="4">
        <v>0.59</v>
      </c>
      <c r="M63" s="33">
        <v>1936</v>
      </c>
      <c r="N63" s="4"/>
      <c r="O63" s="26"/>
      <c r="P63" s="15"/>
      <c r="Q63" s="37" t="s">
        <v>98</v>
      </c>
      <c r="R63" s="3">
        <v>0.62</v>
      </c>
      <c r="S63" s="4">
        <v>0.61</v>
      </c>
      <c r="T63" s="4">
        <v>0.59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0.52</v>
      </c>
      <c r="C67" s="2">
        <v>0.7</v>
      </c>
      <c r="D67" s="2">
        <v>0.59</v>
      </c>
      <c r="E67" s="32">
        <v>163</v>
      </c>
      <c r="F67" s="2" t="s">
        <v>57</v>
      </c>
      <c r="G67" s="5">
        <v>0.54053141875306798</v>
      </c>
      <c r="H67" s="15"/>
      <c r="I67" s="35">
        <v>0</v>
      </c>
      <c r="J67" s="1">
        <v>0.52</v>
      </c>
      <c r="K67" s="2">
        <v>0.77</v>
      </c>
      <c r="L67" s="2">
        <v>0.62</v>
      </c>
      <c r="M67" s="32">
        <v>915</v>
      </c>
      <c r="N67" s="2" t="s">
        <v>75</v>
      </c>
      <c r="O67" s="5">
        <v>0.56888938841701298</v>
      </c>
      <c r="P67" s="15"/>
      <c r="Q67" s="35">
        <v>0</v>
      </c>
      <c r="R67" s="1">
        <v>0.5</v>
      </c>
      <c r="S67" s="2">
        <v>0.82</v>
      </c>
      <c r="T67" s="2">
        <v>0.62</v>
      </c>
      <c r="U67" s="32">
        <v>881</v>
      </c>
      <c r="V67" s="2" t="s">
        <v>93</v>
      </c>
      <c r="W67" s="5">
        <v>0.576756305935893</v>
      </c>
    </row>
    <row r="68" spans="1:23" ht="15" customHeight="1" x14ac:dyDescent="0.15">
      <c r="A68" s="36">
        <v>1</v>
      </c>
      <c r="B68" s="3">
        <v>0.57999999999999996</v>
      </c>
      <c r="C68" s="4">
        <v>0.39</v>
      </c>
      <c r="D68" s="4">
        <v>0.47</v>
      </c>
      <c r="E68" s="33">
        <v>175</v>
      </c>
      <c r="F68" s="4" t="s">
        <v>58</v>
      </c>
      <c r="G68" s="26"/>
      <c r="H68" s="15"/>
      <c r="I68" s="36">
        <v>1</v>
      </c>
      <c r="J68" s="3">
        <v>0.64</v>
      </c>
      <c r="K68" s="4">
        <v>0.37</v>
      </c>
      <c r="L68" s="4">
        <v>0.47</v>
      </c>
      <c r="M68" s="33">
        <v>1021</v>
      </c>
      <c r="N68" s="4" t="s">
        <v>76</v>
      </c>
      <c r="O68" s="26"/>
      <c r="P68" s="15"/>
      <c r="Q68" s="36">
        <v>1</v>
      </c>
      <c r="R68" s="3">
        <v>0.69</v>
      </c>
      <c r="S68" s="4">
        <v>0.34</v>
      </c>
      <c r="T68" s="4">
        <v>0.45</v>
      </c>
      <c r="U68" s="33">
        <v>1067</v>
      </c>
      <c r="V68" s="4" t="s">
        <v>94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0.54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0.56000000000000005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0.55000000000000004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0.55000000000000004</v>
      </c>
      <c r="C70" s="4">
        <v>0.54</v>
      </c>
      <c r="D70" s="4">
        <v>0.53</v>
      </c>
      <c r="E70" s="33">
        <v>338</v>
      </c>
      <c r="F70" s="4"/>
      <c r="G70" s="26"/>
      <c r="H70" s="15"/>
      <c r="I70" s="37" t="s">
        <v>97</v>
      </c>
      <c r="J70" s="3">
        <v>0.57999999999999996</v>
      </c>
      <c r="K70" s="4">
        <v>0.56999999999999995</v>
      </c>
      <c r="L70" s="4">
        <v>0.54</v>
      </c>
      <c r="M70" s="33">
        <v>1936</v>
      </c>
      <c r="N70" s="4"/>
      <c r="O70" s="26"/>
      <c r="P70" s="15"/>
      <c r="Q70" s="37" t="s">
        <v>97</v>
      </c>
      <c r="R70" s="3">
        <v>0.6</v>
      </c>
      <c r="S70" s="4">
        <v>0.57999999999999996</v>
      </c>
      <c r="T70" s="4">
        <v>0.54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0.55000000000000004</v>
      </c>
      <c r="C71" s="4">
        <v>0.54</v>
      </c>
      <c r="D71" s="4">
        <v>0.53</v>
      </c>
      <c r="E71" s="33">
        <v>338</v>
      </c>
      <c r="F71" s="4"/>
      <c r="G71" s="26"/>
      <c r="H71" s="20"/>
      <c r="I71" s="37" t="s">
        <v>98</v>
      </c>
      <c r="J71" s="3">
        <v>0.57999999999999996</v>
      </c>
      <c r="K71" s="4">
        <v>0.56000000000000005</v>
      </c>
      <c r="L71" s="4">
        <v>0.54</v>
      </c>
      <c r="M71" s="33">
        <v>1936</v>
      </c>
      <c r="N71" s="4"/>
      <c r="O71" s="26"/>
      <c r="P71" s="20"/>
      <c r="Q71" s="37" t="s">
        <v>98</v>
      </c>
      <c r="R71" s="3">
        <v>0.61</v>
      </c>
      <c r="S71" s="4">
        <v>0.55000000000000004</v>
      </c>
      <c r="T71" s="4">
        <v>0.53</v>
      </c>
      <c r="U71" s="33">
        <v>1948</v>
      </c>
      <c r="V71" s="4"/>
      <c r="W71" s="26"/>
    </row>
  </sheetData>
  <mergeCells count="27">
    <mergeCell ref="I65:O65"/>
    <mergeCell ref="Q65:W65"/>
    <mergeCell ref="A25:G25"/>
    <mergeCell ref="I49:O49"/>
    <mergeCell ref="A49:G49"/>
    <mergeCell ref="Q49:W49"/>
    <mergeCell ref="A57:G57"/>
    <mergeCell ref="I57:O57"/>
    <mergeCell ref="Q57:W57"/>
    <mergeCell ref="A65:G65"/>
    <mergeCell ref="A41:G41"/>
    <mergeCell ref="I41:O41"/>
    <mergeCell ref="Q41:W41"/>
    <mergeCell ref="I25:O25"/>
    <mergeCell ref="Q25:W25"/>
    <mergeCell ref="A33:G33"/>
    <mergeCell ref="I33:O33"/>
    <mergeCell ref="Q33:W33"/>
    <mergeCell ref="Q9:W9"/>
    <mergeCell ref="A17:G17"/>
    <mergeCell ref="I17:O17"/>
    <mergeCell ref="Q17:W17"/>
    <mergeCell ref="A1:G1"/>
    <mergeCell ref="I1:O1"/>
    <mergeCell ref="Q1:W1"/>
    <mergeCell ref="A9:G9"/>
    <mergeCell ref="I9:O9"/>
  </mergeCells>
  <pageMargins left="0.5" right="0.5" top="0.75" bottom="0.75" header="0.27777800000000002" footer="0.27777800000000002"/>
  <pageSetup scale="72"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71"/>
  <sheetViews>
    <sheetView showGridLines="0" workbookViewId="0">
      <selection sqref="A1:XFD1048576"/>
    </sheetView>
  </sheetViews>
  <sheetFormatPr baseColWidth="10" defaultColWidth="16.33203125" defaultRowHeight="20" customHeight="1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0.7</v>
      </c>
      <c r="C3" s="16">
        <v>0.65</v>
      </c>
      <c r="D3" s="16">
        <v>0.67</v>
      </c>
      <c r="E3" s="29">
        <v>192</v>
      </c>
      <c r="F3" s="16" t="s">
        <v>116</v>
      </c>
      <c r="G3" s="23">
        <v>0.64058932648401801</v>
      </c>
      <c r="H3" s="15"/>
      <c r="I3" s="35">
        <v>0</v>
      </c>
      <c r="J3" s="10">
        <v>0.69</v>
      </c>
      <c r="K3" s="16">
        <v>0.63</v>
      </c>
      <c r="L3" s="16">
        <v>0.66</v>
      </c>
      <c r="M3" s="29">
        <v>1075</v>
      </c>
      <c r="N3" s="16" t="s">
        <v>100</v>
      </c>
      <c r="O3" s="23">
        <v>0.63625313994003696</v>
      </c>
      <c r="P3" s="15"/>
      <c r="Q3" s="35">
        <v>0</v>
      </c>
      <c r="R3" s="10">
        <v>0.73</v>
      </c>
      <c r="S3" s="16">
        <v>0.54</v>
      </c>
      <c r="T3" s="16">
        <v>0.62</v>
      </c>
      <c r="U3" s="29">
        <v>987</v>
      </c>
      <c r="V3" s="16" t="s">
        <v>134</v>
      </c>
      <c r="W3" s="23">
        <v>0.67059336409747095</v>
      </c>
    </row>
    <row r="4" spans="1:23" ht="15" customHeight="1" x14ac:dyDescent="0.15">
      <c r="A4" s="36">
        <v>1</v>
      </c>
      <c r="B4" s="11">
        <v>0.57999999999999996</v>
      </c>
      <c r="C4" s="12">
        <v>0.63</v>
      </c>
      <c r="D4" s="12">
        <v>0.6</v>
      </c>
      <c r="E4" s="30">
        <v>146</v>
      </c>
      <c r="F4" s="12" t="s">
        <v>117</v>
      </c>
      <c r="G4" s="24"/>
      <c r="H4" s="15"/>
      <c r="I4" s="36">
        <v>1</v>
      </c>
      <c r="J4" s="11">
        <v>0.57999999999999996</v>
      </c>
      <c r="K4" s="12">
        <v>0.64</v>
      </c>
      <c r="L4" s="12">
        <v>0.61</v>
      </c>
      <c r="M4" s="30">
        <v>861</v>
      </c>
      <c r="N4" s="12" t="s">
        <v>101</v>
      </c>
      <c r="O4" s="24"/>
      <c r="P4" s="15"/>
      <c r="Q4" s="36">
        <v>1</v>
      </c>
      <c r="R4" s="11">
        <v>0.63</v>
      </c>
      <c r="S4" s="12">
        <v>0.8</v>
      </c>
      <c r="T4" s="12">
        <v>0.7</v>
      </c>
      <c r="U4" s="30">
        <v>961</v>
      </c>
      <c r="V4" s="12" t="s">
        <v>78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0.64</v>
      </c>
      <c r="E5" s="30">
        <v>338</v>
      </c>
      <c r="F5" s="12"/>
      <c r="G5" s="24"/>
      <c r="H5" s="15"/>
      <c r="I5" s="37" t="s">
        <v>95</v>
      </c>
      <c r="J5" s="11" t="s">
        <v>167</v>
      </c>
      <c r="K5" s="12" t="s">
        <v>167</v>
      </c>
      <c r="L5" s="21">
        <v>0.64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0.64</v>
      </c>
      <c r="C6" s="12">
        <v>0.64</v>
      </c>
      <c r="D6" s="12">
        <v>0.64</v>
      </c>
      <c r="E6" s="30">
        <v>338</v>
      </c>
      <c r="F6" s="12"/>
      <c r="G6" s="24"/>
      <c r="H6" s="15"/>
      <c r="I6" s="37" t="s">
        <v>166</v>
      </c>
      <c r="J6" s="11">
        <v>0.63</v>
      </c>
      <c r="K6" s="12">
        <v>0.64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0.67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0.65</v>
      </c>
      <c r="C7" s="12">
        <v>0.64</v>
      </c>
      <c r="D7" s="12">
        <v>0.64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0.64</v>
      </c>
      <c r="L7" s="12">
        <v>0.64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0.67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0.64</v>
      </c>
      <c r="C11" s="2">
        <v>0.74</v>
      </c>
      <c r="D11" s="2">
        <v>0.69</v>
      </c>
      <c r="E11" s="32">
        <v>192</v>
      </c>
      <c r="F11" s="19" t="s">
        <v>118</v>
      </c>
      <c r="G11" s="5">
        <v>0.59581906392693995</v>
      </c>
      <c r="H11" s="15"/>
      <c r="I11" s="35">
        <v>0</v>
      </c>
      <c r="J11" s="1">
        <v>0.68</v>
      </c>
      <c r="K11" s="2">
        <v>0.67</v>
      </c>
      <c r="L11" s="2">
        <v>0.68</v>
      </c>
      <c r="M11" s="32">
        <v>1075</v>
      </c>
      <c r="N11" s="19" t="s">
        <v>102</v>
      </c>
      <c r="O11" s="5">
        <v>0.63929935445533803</v>
      </c>
      <c r="P11" s="15"/>
      <c r="Q11" s="35">
        <v>0</v>
      </c>
      <c r="R11" s="1">
        <v>0.68</v>
      </c>
      <c r="S11" s="2">
        <v>0.56999999999999995</v>
      </c>
      <c r="T11" s="2">
        <v>0.62</v>
      </c>
      <c r="U11" s="32">
        <v>987</v>
      </c>
      <c r="V11" s="19" t="s">
        <v>135</v>
      </c>
      <c r="W11" s="5">
        <v>0.64686502050063899</v>
      </c>
    </row>
    <row r="12" spans="1:23" ht="15" customHeight="1" x14ac:dyDescent="0.15">
      <c r="A12" s="36">
        <v>1</v>
      </c>
      <c r="B12" s="3">
        <v>0.56999999999999995</v>
      </c>
      <c r="C12" s="4">
        <v>0.45</v>
      </c>
      <c r="D12" s="4">
        <v>0.5</v>
      </c>
      <c r="E12" s="33">
        <v>146</v>
      </c>
      <c r="F12" s="4" t="s">
        <v>119</v>
      </c>
      <c r="G12" s="26"/>
      <c r="H12" s="15"/>
      <c r="I12" s="36">
        <v>1</v>
      </c>
      <c r="J12" s="3">
        <v>0.6</v>
      </c>
      <c r="K12" s="4">
        <v>0.61</v>
      </c>
      <c r="L12" s="4">
        <v>0.6</v>
      </c>
      <c r="M12" s="33">
        <v>861</v>
      </c>
      <c r="N12" s="4" t="s">
        <v>103</v>
      </c>
      <c r="O12" s="26"/>
      <c r="P12" s="15"/>
      <c r="Q12" s="36">
        <v>1</v>
      </c>
      <c r="R12" s="3">
        <v>0.62</v>
      </c>
      <c r="S12" s="4">
        <v>0.73</v>
      </c>
      <c r="T12" s="4">
        <v>0.67</v>
      </c>
      <c r="U12" s="33">
        <v>961</v>
      </c>
      <c r="V12" s="4" t="s">
        <v>80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0.62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0.64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0.65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</v>
      </c>
      <c r="C14" s="4">
        <v>0.6</v>
      </c>
      <c r="D14" s="4">
        <v>0.59</v>
      </c>
      <c r="E14" s="33">
        <v>338</v>
      </c>
      <c r="F14" s="4"/>
      <c r="G14" s="26"/>
      <c r="H14" s="15"/>
      <c r="I14" s="37" t="s">
        <v>97</v>
      </c>
      <c r="J14" s="3">
        <v>0.64</v>
      </c>
      <c r="K14" s="4">
        <v>0.64</v>
      </c>
      <c r="L14" s="4">
        <v>0.64</v>
      </c>
      <c r="M14" s="33">
        <v>1936</v>
      </c>
      <c r="N14" s="4"/>
      <c r="O14" s="26"/>
      <c r="P14" s="15"/>
      <c r="Q14" s="37" t="s">
        <v>97</v>
      </c>
      <c r="R14" s="3">
        <v>0.65</v>
      </c>
      <c r="S14" s="4">
        <v>0.65</v>
      </c>
      <c r="T14" s="4">
        <v>0.64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0.61</v>
      </c>
      <c r="C15" s="4">
        <v>0.62</v>
      </c>
      <c r="D15" s="4">
        <v>0.61</v>
      </c>
      <c r="E15" s="33">
        <v>338</v>
      </c>
      <c r="F15" s="4"/>
      <c r="G15" s="26"/>
      <c r="H15" s="15"/>
      <c r="I15" s="37" t="s">
        <v>98</v>
      </c>
      <c r="J15" s="3">
        <v>0.64</v>
      </c>
      <c r="K15" s="4">
        <v>0.64</v>
      </c>
      <c r="L15" s="4">
        <v>0.64</v>
      </c>
      <c r="M15" s="33">
        <v>1936</v>
      </c>
      <c r="N15" s="4"/>
      <c r="O15" s="26"/>
      <c r="P15" s="15"/>
      <c r="Q15" s="37" t="s">
        <v>98</v>
      </c>
      <c r="R15" s="3">
        <v>0.65</v>
      </c>
      <c r="S15" s="4">
        <v>0.65</v>
      </c>
      <c r="T15" s="4">
        <v>0.64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0.63</v>
      </c>
      <c r="C19" s="2">
        <v>0.47</v>
      </c>
      <c r="D19" s="2">
        <v>0.54</v>
      </c>
      <c r="E19" s="32">
        <v>192</v>
      </c>
      <c r="F19" s="2" t="s">
        <v>120</v>
      </c>
      <c r="G19" s="5">
        <v>0.55629280821917804</v>
      </c>
      <c r="H19" s="15"/>
      <c r="I19" s="35">
        <v>0</v>
      </c>
      <c r="J19" s="1">
        <v>0.7</v>
      </c>
      <c r="K19" s="2">
        <v>0.37</v>
      </c>
      <c r="L19" s="2">
        <v>0.48</v>
      </c>
      <c r="M19" s="32">
        <v>1075</v>
      </c>
      <c r="N19" s="2" t="s">
        <v>104</v>
      </c>
      <c r="O19" s="5">
        <v>0.58499851443697104</v>
      </c>
      <c r="P19" s="15"/>
      <c r="Q19" s="35">
        <v>0</v>
      </c>
      <c r="R19" s="1">
        <v>0.53</v>
      </c>
      <c r="S19" s="2">
        <v>0.96</v>
      </c>
      <c r="T19" s="2">
        <v>0.69</v>
      </c>
      <c r="U19" s="32">
        <v>987</v>
      </c>
      <c r="V19" s="2" t="s">
        <v>136</v>
      </c>
      <c r="W19" s="5">
        <v>0.54940079514436901</v>
      </c>
    </row>
    <row r="20" spans="1:23" ht="15" customHeight="1" x14ac:dyDescent="0.15">
      <c r="A20" s="36">
        <v>1</v>
      </c>
      <c r="B20" s="3">
        <v>0.48</v>
      </c>
      <c r="C20" s="4">
        <v>0.64</v>
      </c>
      <c r="D20" s="4">
        <v>0.55000000000000004</v>
      </c>
      <c r="E20" s="33">
        <v>146</v>
      </c>
      <c r="F20" s="4" t="s">
        <v>121</v>
      </c>
      <c r="G20" s="26"/>
      <c r="H20" s="15"/>
      <c r="I20" s="36">
        <v>1</v>
      </c>
      <c r="J20" s="3">
        <v>0.5</v>
      </c>
      <c r="K20" s="4">
        <v>0.8</v>
      </c>
      <c r="L20" s="4">
        <v>0.62</v>
      </c>
      <c r="M20" s="33">
        <v>861</v>
      </c>
      <c r="N20" s="4" t="s">
        <v>105</v>
      </c>
      <c r="O20" s="26"/>
      <c r="P20" s="15"/>
      <c r="Q20" s="36">
        <v>1</v>
      </c>
      <c r="R20" s="3">
        <v>0.78</v>
      </c>
      <c r="S20" s="4">
        <v>0.14000000000000001</v>
      </c>
      <c r="T20" s="4">
        <v>0.23</v>
      </c>
      <c r="U20" s="33">
        <v>961</v>
      </c>
      <c r="V20" s="4" t="s">
        <v>137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0.54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0.56000000000000005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0.55000000000000004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0.56000000000000005</v>
      </c>
      <c r="C22" s="4">
        <v>0.56000000000000005</v>
      </c>
      <c r="D22" s="4">
        <v>0.54</v>
      </c>
      <c r="E22" s="33">
        <v>338</v>
      </c>
      <c r="F22" s="4"/>
      <c r="G22" s="26"/>
      <c r="H22" s="15"/>
      <c r="I22" s="37" t="s">
        <v>97</v>
      </c>
      <c r="J22" s="3">
        <v>0.6</v>
      </c>
      <c r="K22" s="4">
        <v>0.57999999999999996</v>
      </c>
      <c r="L22" s="4">
        <v>0.55000000000000004</v>
      </c>
      <c r="M22" s="33">
        <v>1936</v>
      </c>
      <c r="N22" s="4"/>
      <c r="O22" s="26"/>
      <c r="P22" s="15"/>
      <c r="Q22" s="37" t="s">
        <v>97</v>
      </c>
      <c r="R22" s="3">
        <v>0.66</v>
      </c>
      <c r="S22" s="4">
        <v>0.55000000000000004</v>
      </c>
      <c r="T22" s="4">
        <v>0.46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0.56999999999999995</v>
      </c>
      <c r="C23" s="4">
        <v>0.54</v>
      </c>
      <c r="D23" s="4">
        <v>0.54</v>
      </c>
      <c r="E23" s="33">
        <v>338</v>
      </c>
      <c r="F23" s="4"/>
      <c r="G23" s="26"/>
      <c r="H23" s="15"/>
      <c r="I23" s="37" t="s">
        <v>98</v>
      </c>
      <c r="J23" s="3">
        <v>0.61</v>
      </c>
      <c r="K23" s="4">
        <v>0.56000000000000005</v>
      </c>
      <c r="L23" s="4">
        <v>0.54</v>
      </c>
      <c r="M23" s="33">
        <v>1936</v>
      </c>
      <c r="N23" s="4"/>
      <c r="O23" s="26"/>
      <c r="P23" s="15"/>
      <c r="Q23" s="37" t="s">
        <v>98</v>
      </c>
      <c r="R23" s="3">
        <v>0.66</v>
      </c>
      <c r="S23" s="4">
        <v>0.55000000000000004</v>
      </c>
      <c r="T23" s="4">
        <v>0.46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</v>
      </c>
      <c r="C27" s="2">
        <v>0.68</v>
      </c>
      <c r="D27" s="2">
        <v>0.64</v>
      </c>
      <c r="E27" s="32">
        <v>163</v>
      </c>
      <c r="F27" s="2" t="s">
        <v>122</v>
      </c>
      <c r="G27" s="5">
        <v>0.63191936897458301</v>
      </c>
      <c r="H27" s="15"/>
      <c r="I27" s="35">
        <v>0</v>
      </c>
      <c r="J27" s="1">
        <v>0.6</v>
      </c>
      <c r="K27" s="2">
        <v>0.65</v>
      </c>
      <c r="L27" s="2">
        <v>0.63</v>
      </c>
      <c r="M27" s="32">
        <v>932</v>
      </c>
      <c r="N27" s="2" t="s">
        <v>106</v>
      </c>
      <c r="O27" s="5">
        <v>0.62697707025973304</v>
      </c>
      <c r="P27" s="15"/>
      <c r="Q27" s="35">
        <v>0</v>
      </c>
      <c r="R27" s="1">
        <v>0.68</v>
      </c>
      <c r="S27" s="2">
        <v>0.56000000000000005</v>
      </c>
      <c r="T27" s="2">
        <v>0.61</v>
      </c>
      <c r="U27" s="32">
        <v>810</v>
      </c>
      <c r="V27" s="2" t="s">
        <v>138</v>
      </c>
      <c r="W27" s="5">
        <v>0.68586647573173598</v>
      </c>
    </row>
    <row r="28" spans="1:23" ht="15" customHeight="1" x14ac:dyDescent="0.15">
      <c r="A28" s="36">
        <v>1</v>
      </c>
      <c r="B28" s="3">
        <v>0.66</v>
      </c>
      <c r="C28" s="4">
        <v>0.57999999999999996</v>
      </c>
      <c r="D28" s="4">
        <v>0.62</v>
      </c>
      <c r="E28" s="33">
        <v>175</v>
      </c>
      <c r="F28" s="4" t="s">
        <v>123</v>
      </c>
      <c r="G28" s="26"/>
      <c r="H28" s="15"/>
      <c r="I28" s="36">
        <v>1</v>
      </c>
      <c r="J28" s="3">
        <v>0.65</v>
      </c>
      <c r="K28" s="4">
        <v>0.6</v>
      </c>
      <c r="L28" s="4">
        <v>0.63</v>
      </c>
      <c r="M28" s="33">
        <v>1004</v>
      </c>
      <c r="N28" s="4" t="s">
        <v>107</v>
      </c>
      <c r="O28" s="26"/>
      <c r="P28" s="15"/>
      <c r="Q28" s="36">
        <v>1</v>
      </c>
      <c r="R28" s="3">
        <v>0.72</v>
      </c>
      <c r="S28" s="4">
        <v>0.81</v>
      </c>
      <c r="T28" s="4">
        <v>0.76</v>
      </c>
      <c r="U28" s="33">
        <v>1138</v>
      </c>
      <c r="V28" s="4" t="s">
        <v>139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0.63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0.71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0.63</v>
      </c>
      <c r="C30" s="4">
        <v>0.63</v>
      </c>
      <c r="D30" s="4">
        <v>0.63</v>
      </c>
      <c r="E30" s="33">
        <v>338</v>
      </c>
      <c r="F30" s="4"/>
      <c r="G30" s="26"/>
      <c r="H30" s="15"/>
      <c r="I30" s="37" t="s">
        <v>97</v>
      </c>
      <c r="J30" s="3">
        <v>0.63</v>
      </c>
      <c r="K30" s="4">
        <v>0.63</v>
      </c>
      <c r="L30" s="4">
        <v>0.63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0.69</v>
      </c>
      <c r="T30" s="4">
        <v>0.69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0.63</v>
      </c>
      <c r="C31" s="4">
        <v>0.63</v>
      </c>
      <c r="D31" s="4">
        <v>0.63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0.63</v>
      </c>
      <c r="M31" s="33">
        <v>1936</v>
      </c>
      <c r="N31" s="4"/>
      <c r="O31" s="26"/>
      <c r="P31" s="15"/>
      <c r="Q31" s="37" t="s">
        <v>98</v>
      </c>
      <c r="R31" s="3">
        <v>0.7</v>
      </c>
      <c r="S31" s="4">
        <v>0.71</v>
      </c>
      <c r="T31" s="4">
        <v>0.7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0.56000000000000005</v>
      </c>
      <c r="C35" s="2">
        <v>0.69</v>
      </c>
      <c r="D35" s="2">
        <v>0.62</v>
      </c>
      <c r="E35" s="32">
        <v>163</v>
      </c>
      <c r="F35" s="2" t="s">
        <v>124</v>
      </c>
      <c r="G35" s="5">
        <v>0.59234005258545097</v>
      </c>
      <c r="H35" s="15"/>
      <c r="I35" s="35">
        <v>0</v>
      </c>
      <c r="J35" s="1">
        <v>0.6</v>
      </c>
      <c r="K35" s="2">
        <v>0.67</v>
      </c>
      <c r="L35" s="2">
        <v>0.63</v>
      </c>
      <c r="M35" s="32">
        <v>932</v>
      </c>
      <c r="N35" s="2" t="s">
        <v>108</v>
      </c>
      <c r="O35" s="5">
        <v>0.62360857001179804</v>
      </c>
      <c r="P35" s="15"/>
      <c r="Q35" s="35">
        <v>0</v>
      </c>
      <c r="R35" s="1">
        <v>0.63</v>
      </c>
      <c r="S35" s="2">
        <v>0.56999999999999995</v>
      </c>
      <c r="T35" s="2">
        <v>0.6</v>
      </c>
      <c r="U35" s="32">
        <v>810</v>
      </c>
      <c r="V35" s="2" t="s">
        <v>140</v>
      </c>
      <c r="W35" s="5">
        <v>0.66611664388465797</v>
      </c>
    </row>
    <row r="36" spans="1:23" ht="15" customHeight="1" x14ac:dyDescent="0.15">
      <c r="A36" s="36">
        <v>1</v>
      </c>
      <c r="B36" s="3">
        <v>0.63</v>
      </c>
      <c r="C36" s="4">
        <v>0.49</v>
      </c>
      <c r="D36" s="4">
        <v>0.55000000000000004</v>
      </c>
      <c r="E36" s="33">
        <v>175</v>
      </c>
      <c r="F36" s="4" t="s">
        <v>125</v>
      </c>
      <c r="G36" s="26"/>
      <c r="H36" s="15"/>
      <c r="I36" s="36">
        <v>1</v>
      </c>
      <c r="J36" s="3">
        <v>0.65</v>
      </c>
      <c r="K36" s="4">
        <v>0.57999999999999996</v>
      </c>
      <c r="L36" s="4">
        <v>0.61</v>
      </c>
      <c r="M36" s="33">
        <v>1004</v>
      </c>
      <c r="N36" s="4" t="s">
        <v>109</v>
      </c>
      <c r="O36" s="26"/>
      <c r="P36" s="15"/>
      <c r="Q36" s="36">
        <v>1</v>
      </c>
      <c r="R36" s="3">
        <v>0.71</v>
      </c>
      <c r="S36" s="4">
        <v>0.76</v>
      </c>
      <c r="T36" s="4">
        <v>0.74</v>
      </c>
      <c r="U36" s="33">
        <v>1138</v>
      </c>
      <c r="V36" s="4" t="s">
        <v>141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0.59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</v>
      </c>
      <c r="C38" s="4">
        <v>0.59</v>
      </c>
      <c r="D38" s="4">
        <v>0.59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0.67</v>
      </c>
      <c r="T38" s="4">
        <v>0.67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</v>
      </c>
      <c r="C39" s="4">
        <v>0.59</v>
      </c>
      <c r="D39" s="4">
        <v>0.57999999999999996</v>
      </c>
      <c r="E39" s="33">
        <v>338</v>
      </c>
      <c r="F39" s="4"/>
      <c r="G39" s="26"/>
      <c r="H39" s="15"/>
      <c r="I39" s="37" t="s">
        <v>98</v>
      </c>
      <c r="J39" s="3">
        <v>0.63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0.68</v>
      </c>
      <c r="S39" s="4">
        <v>0.68</v>
      </c>
      <c r="T39" s="4">
        <v>0.68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0.52</v>
      </c>
      <c r="C43" s="2">
        <v>0.67</v>
      </c>
      <c r="D43" s="2">
        <v>0.57999999999999996</v>
      </c>
      <c r="E43" s="32">
        <v>163</v>
      </c>
      <c r="F43" s="2" t="s">
        <v>126</v>
      </c>
      <c r="G43" s="5">
        <v>0.54578439964943004</v>
      </c>
      <c r="H43" s="15"/>
      <c r="I43" s="35">
        <v>0</v>
      </c>
      <c r="J43" s="1">
        <v>0.56999999999999995</v>
      </c>
      <c r="K43" s="2">
        <v>0.53</v>
      </c>
      <c r="L43" s="2">
        <v>0.55000000000000004</v>
      </c>
      <c r="M43" s="32">
        <v>932</v>
      </c>
      <c r="N43" s="2" t="s">
        <v>110</v>
      </c>
      <c r="O43" s="5">
        <v>0.57566301318331803</v>
      </c>
      <c r="P43" s="15"/>
      <c r="Q43" s="35">
        <v>0</v>
      </c>
      <c r="R43" s="1">
        <v>0.65</v>
      </c>
      <c r="S43" s="2">
        <v>0.12</v>
      </c>
      <c r="T43" s="2">
        <v>0.21</v>
      </c>
      <c r="U43" s="32">
        <v>810</v>
      </c>
      <c r="V43" s="2" t="s">
        <v>142</v>
      </c>
      <c r="W43" s="5">
        <v>0.53782464362429205</v>
      </c>
    </row>
    <row r="44" spans="1:23" ht="15" customHeight="1" x14ac:dyDescent="0.15">
      <c r="A44" s="36">
        <v>1</v>
      </c>
      <c r="B44" s="3">
        <v>0.57999999999999996</v>
      </c>
      <c r="C44" s="4">
        <v>0.42</v>
      </c>
      <c r="D44" s="4">
        <v>0.49</v>
      </c>
      <c r="E44" s="33">
        <v>175</v>
      </c>
      <c r="F44" s="4" t="s">
        <v>127</v>
      </c>
      <c r="G44" s="26"/>
      <c r="H44" s="15"/>
      <c r="I44" s="36">
        <v>1</v>
      </c>
      <c r="J44" s="3">
        <v>0.59</v>
      </c>
      <c r="K44" s="4">
        <v>0.62</v>
      </c>
      <c r="L44" s="4">
        <v>0.61</v>
      </c>
      <c r="M44" s="33">
        <v>1004</v>
      </c>
      <c r="N44" s="4" t="s">
        <v>111</v>
      </c>
      <c r="O44" s="26"/>
      <c r="P44" s="15"/>
      <c r="Q44" s="36">
        <v>1</v>
      </c>
      <c r="R44" s="3">
        <v>0.6</v>
      </c>
      <c r="S44" s="4">
        <v>0.95</v>
      </c>
      <c r="T44" s="4">
        <v>0.74</v>
      </c>
      <c r="U44" s="33">
        <v>1138</v>
      </c>
      <c r="V44" s="4" t="s">
        <v>143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0.54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0.57999999999999996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0.61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0.55000000000000004</v>
      </c>
      <c r="C46" s="4">
        <v>0.55000000000000004</v>
      </c>
      <c r="D46" s="4">
        <v>0.54</v>
      </c>
      <c r="E46" s="33">
        <v>338</v>
      </c>
      <c r="F46" s="4"/>
      <c r="G46" s="26"/>
      <c r="H46" s="15"/>
      <c r="I46" s="37" t="s">
        <v>97</v>
      </c>
      <c r="J46" s="3">
        <v>0.57999999999999996</v>
      </c>
      <c r="K46" s="4">
        <v>0.57999999999999996</v>
      </c>
      <c r="L46" s="4">
        <v>0.57999999999999996</v>
      </c>
      <c r="M46" s="33">
        <v>1936</v>
      </c>
      <c r="N46" s="4"/>
      <c r="O46" s="26"/>
      <c r="P46" s="15"/>
      <c r="Q46" s="37" t="s">
        <v>97</v>
      </c>
      <c r="R46" s="3">
        <v>0.63</v>
      </c>
      <c r="S46" s="4">
        <v>0.54</v>
      </c>
      <c r="T46" s="4">
        <v>0.47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0.55000000000000004</v>
      </c>
      <c r="C47" s="4">
        <v>0.54</v>
      </c>
      <c r="D47" s="4">
        <v>0.53</v>
      </c>
      <c r="E47" s="33">
        <v>338</v>
      </c>
      <c r="F47" s="4"/>
      <c r="G47" s="26"/>
      <c r="H47" s="15"/>
      <c r="I47" s="37" t="s">
        <v>98</v>
      </c>
      <c r="J47" s="3">
        <v>0.57999999999999996</v>
      </c>
      <c r="K47" s="4">
        <v>0.57999999999999996</v>
      </c>
      <c r="L47" s="4">
        <v>0.57999999999999996</v>
      </c>
      <c r="M47" s="33">
        <v>1936</v>
      </c>
      <c r="N47" s="4"/>
      <c r="O47" s="26"/>
      <c r="P47" s="15"/>
      <c r="Q47" s="37" t="s">
        <v>98</v>
      </c>
      <c r="R47" s="3">
        <v>0.62</v>
      </c>
      <c r="S47" s="4">
        <v>0.61</v>
      </c>
      <c r="T47" s="4">
        <v>0.52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0.64</v>
      </c>
      <c r="C51" s="2">
        <v>0.36</v>
      </c>
      <c r="D51" s="2">
        <v>0.46</v>
      </c>
      <c r="E51" s="32">
        <v>163</v>
      </c>
      <c r="F51" s="2" t="s">
        <v>128</v>
      </c>
      <c r="G51" s="5">
        <v>0.58669588080630997</v>
      </c>
      <c r="H51" s="15"/>
      <c r="I51" s="35">
        <v>0</v>
      </c>
      <c r="J51" s="1">
        <v>0.65</v>
      </c>
      <c r="K51" s="2">
        <v>0.28000000000000003</v>
      </c>
      <c r="L51" s="2">
        <v>0.4</v>
      </c>
      <c r="M51" s="32">
        <v>915</v>
      </c>
      <c r="N51" s="2" t="s">
        <v>112</v>
      </c>
      <c r="O51" s="5">
        <v>0.57302655170383598</v>
      </c>
      <c r="P51" s="15"/>
      <c r="Q51" s="35">
        <v>0</v>
      </c>
      <c r="R51" s="1">
        <v>0.68</v>
      </c>
      <c r="S51" s="2">
        <v>0.34</v>
      </c>
      <c r="T51" s="2">
        <v>0.46</v>
      </c>
      <c r="U51" s="32">
        <v>881</v>
      </c>
      <c r="V51" s="2" t="s">
        <v>144</v>
      </c>
      <c r="W51" s="5">
        <v>0.60635917904485703</v>
      </c>
    </row>
    <row r="52" spans="1:23" ht="15" customHeight="1" x14ac:dyDescent="0.15">
      <c r="A52" s="36">
        <v>1</v>
      </c>
      <c r="B52" s="3">
        <v>0.57999999999999996</v>
      </c>
      <c r="C52" s="4">
        <v>0.81</v>
      </c>
      <c r="D52" s="4">
        <v>0.67</v>
      </c>
      <c r="E52" s="33">
        <v>175</v>
      </c>
      <c r="F52" s="4" t="s">
        <v>129</v>
      </c>
      <c r="G52" s="26"/>
      <c r="H52" s="15"/>
      <c r="I52" s="36">
        <v>1</v>
      </c>
      <c r="J52" s="3">
        <v>0.56999999999999995</v>
      </c>
      <c r="K52" s="4">
        <v>0.86</v>
      </c>
      <c r="L52" s="4">
        <v>0.69</v>
      </c>
      <c r="M52" s="33">
        <v>1021</v>
      </c>
      <c r="N52" s="4" t="s">
        <v>113</v>
      </c>
      <c r="O52" s="26"/>
      <c r="P52" s="15"/>
      <c r="Q52" s="36">
        <v>1</v>
      </c>
      <c r="R52" s="3">
        <v>0.62</v>
      </c>
      <c r="S52" s="4">
        <v>0.87</v>
      </c>
      <c r="T52" s="4">
        <v>0.72</v>
      </c>
      <c r="U52" s="33">
        <v>1067</v>
      </c>
      <c r="V52" s="4" t="s">
        <v>145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0.59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0.63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0.61</v>
      </c>
      <c r="C54" s="4">
        <v>0.59</v>
      </c>
      <c r="D54" s="4">
        <v>0.56999999999999995</v>
      </c>
      <c r="E54" s="33">
        <v>338</v>
      </c>
      <c r="F54" s="4"/>
      <c r="G54" s="26"/>
      <c r="H54" s="15"/>
      <c r="I54" s="37" t="s">
        <v>97</v>
      </c>
      <c r="J54" s="3">
        <v>0.61</v>
      </c>
      <c r="K54" s="4">
        <v>0.56999999999999995</v>
      </c>
      <c r="L54" s="4">
        <v>0.54</v>
      </c>
      <c r="M54" s="33">
        <v>1936</v>
      </c>
      <c r="N54" s="4"/>
      <c r="O54" s="26"/>
      <c r="P54" s="15"/>
      <c r="Q54" s="37" t="s">
        <v>97</v>
      </c>
      <c r="R54" s="3">
        <v>0.65</v>
      </c>
      <c r="S54" s="4">
        <v>0.61</v>
      </c>
      <c r="T54" s="4">
        <v>0.59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0.61</v>
      </c>
      <c r="C55" s="4">
        <v>0.59</v>
      </c>
      <c r="D55" s="4">
        <v>0.56999999999999995</v>
      </c>
      <c r="E55" s="33">
        <v>338</v>
      </c>
      <c r="F55" s="4"/>
      <c r="G55" s="26"/>
      <c r="H55" s="15"/>
      <c r="I55" s="37" t="s">
        <v>98</v>
      </c>
      <c r="J55" s="3">
        <v>0.61</v>
      </c>
      <c r="K55" s="4">
        <v>0.59</v>
      </c>
      <c r="L55" s="4">
        <v>0.55000000000000004</v>
      </c>
      <c r="M55" s="33">
        <v>1936</v>
      </c>
      <c r="N55" s="4"/>
      <c r="O55" s="26"/>
      <c r="P55" s="15"/>
      <c r="Q55" s="37" t="s">
        <v>98</v>
      </c>
      <c r="R55" s="3">
        <v>0.65</v>
      </c>
      <c r="S55" s="4">
        <v>0.63</v>
      </c>
      <c r="T55" s="4">
        <v>0.6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0.56999999999999995</v>
      </c>
      <c r="C59" s="2">
        <v>0.53</v>
      </c>
      <c r="D59" s="2">
        <v>0.55000000000000004</v>
      </c>
      <c r="E59" s="32">
        <v>163</v>
      </c>
      <c r="F59" s="2" t="s">
        <v>130</v>
      </c>
      <c r="G59" s="5">
        <v>0.58115687992988596</v>
      </c>
      <c r="H59" s="15"/>
      <c r="I59" s="35">
        <v>0</v>
      </c>
      <c r="J59" s="1">
        <v>0.61</v>
      </c>
      <c r="K59" s="2">
        <v>0.43</v>
      </c>
      <c r="L59" s="2">
        <v>0.5</v>
      </c>
      <c r="M59" s="32">
        <v>915</v>
      </c>
      <c r="N59" s="2" t="s">
        <v>114</v>
      </c>
      <c r="O59" s="5">
        <v>0.58993325947453201</v>
      </c>
      <c r="P59" s="15"/>
      <c r="Q59" s="35">
        <v>0</v>
      </c>
      <c r="R59" s="1">
        <v>0.63</v>
      </c>
      <c r="S59" s="2">
        <v>0.38</v>
      </c>
      <c r="T59" s="2">
        <v>0.47</v>
      </c>
      <c r="U59" s="32">
        <v>881</v>
      </c>
      <c r="V59" s="2" t="s">
        <v>146</v>
      </c>
      <c r="W59" s="5">
        <v>0.59724241963262703</v>
      </c>
    </row>
    <row r="60" spans="1:23" ht="15" customHeight="1" x14ac:dyDescent="0.15">
      <c r="A60" s="36">
        <v>1</v>
      </c>
      <c r="B60" s="3">
        <v>0.59</v>
      </c>
      <c r="C60" s="4">
        <v>0.63</v>
      </c>
      <c r="D60" s="4">
        <v>0.61</v>
      </c>
      <c r="E60" s="33">
        <v>175</v>
      </c>
      <c r="F60" s="4" t="s">
        <v>131</v>
      </c>
      <c r="G60" s="26"/>
      <c r="H60" s="15"/>
      <c r="I60" s="36">
        <v>1</v>
      </c>
      <c r="J60" s="3">
        <v>0.59</v>
      </c>
      <c r="K60" s="4">
        <v>0.75</v>
      </c>
      <c r="L60" s="4">
        <v>0.66</v>
      </c>
      <c r="M60" s="33">
        <v>1021</v>
      </c>
      <c r="N60" s="4" t="s">
        <v>115</v>
      </c>
      <c r="O60" s="26"/>
      <c r="P60" s="15"/>
      <c r="Q60" s="36">
        <v>1</v>
      </c>
      <c r="R60" s="3">
        <v>0.61</v>
      </c>
      <c r="S60" s="4">
        <v>0.82</v>
      </c>
      <c r="T60" s="4">
        <v>0.7</v>
      </c>
      <c r="U60" s="33">
        <v>1067</v>
      </c>
      <c r="V60" s="4" t="s">
        <v>147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0.57999999999999996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0.6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0.62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0.57999999999999996</v>
      </c>
      <c r="C62" s="4">
        <v>0.57999999999999996</v>
      </c>
      <c r="D62" s="4">
        <v>0.57999999999999996</v>
      </c>
      <c r="E62" s="33">
        <v>338</v>
      </c>
      <c r="F62" s="4"/>
      <c r="G62" s="26"/>
      <c r="H62" s="15"/>
      <c r="I62" s="37" t="s">
        <v>97</v>
      </c>
      <c r="J62" s="3">
        <v>0.6</v>
      </c>
      <c r="K62" s="4">
        <v>0.59</v>
      </c>
      <c r="L62" s="4">
        <v>0.57999999999999996</v>
      </c>
      <c r="M62" s="33">
        <v>1936</v>
      </c>
      <c r="N62" s="4"/>
      <c r="O62" s="26"/>
      <c r="P62" s="15"/>
      <c r="Q62" s="37" t="s">
        <v>97</v>
      </c>
      <c r="R62" s="3">
        <v>0.62</v>
      </c>
      <c r="S62" s="4">
        <v>0.6</v>
      </c>
      <c r="T62" s="4">
        <v>0.59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0.57999999999999996</v>
      </c>
      <c r="C63" s="4">
        <v>0.57999999999999996</v>
      </c>
      <c r="D63" s="4">
        <v>0.57999999999999996</v>
      </c>
      <c r="E63" s="33">
        <v>338</v>
      </c>
      <c r="F63" s="4"/>
      <c r="G63" s="26"/>
      <c r="H63" s="15"/>
      <c r="I63" s="37" t="s">
        <v>98</v>
      </c>
      <c r="J63" s="3">
        <v>0.6</v>
      </c>
      <c r="K63" s="4">
        <v>0.6</v>
      </c>
      <c r="L63" s="4">
        <v>0.59</v>
      </c>
      <c r="M63" s="33">
        <v>1936</v>
      </c>
      <c r="N63" s="4"/>
      <c r="O63" s="26"/>
      <c r="P63" s="15"/>
      <c r="Q63" s="37" t="s">
        <v>98</v>
      </c>
      <c r="R63" s="3">
        <v>0.62</v>
      </c>
      <c r="S63" s="4">
        <v>0.62</v>
      </c>
      <c r="T63" s="4">
        <v>0.6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0.48</v>
      </c>
      <c r="C67" s="2">
        <v>0.31</v>
      </c>
      <c r="D67" s="2">
        <v>0.38</v>
      </c>
      <c r="E67" s="32">
        <v>163</v>
      </c>
      <c r="F67" s="2" t="s">
        <v>132</v>
      </c>
      <c r="G67" s="5">
        <v>0.499298860648553</v>
      </c>
      <c r="H67" s="15"/>
      <c r="I67" s="35">
        <v>0</v>
      </c>
      <c r="J67" s="1">
        <v>0.52</v>
      </c>
      <c r="K67" s="2">
        <v>0.77</v>
      </c>
      <c r="L67" s="2">
        <v>0.62</v>
      </c>
      <c r="M67" s="32">
        <v>915</v>
      </c>
      <c r="N67" s="2" t="s">
        <v>75</v>
      </c>
      <c r="O67" s="5">
        <v>0.56888938841701298</v>
      </c>
      <c r="P67" s="15"/>
      <c r="Q67" s="35">
        <v>0</v>
      </c>
      <c r="R67" s="1">
        <v>0.47</v>
      </c>
      <c r="S67" s="2">
        <v>0.98</v>
      </c>
      <c r="T67" s="2">
        <v>0.63</v>
      </c>
      <c r="U67" s="32">
        <v>881</v>
      </c>
      <c r="V67" s="2" t="s">
        <v>148</v>
      </c>
      <c r="W67" s="5">
        <v>0.52784015778270199</v>
      </c>
    </row>
    <row r="68" spans="1:23" ht="15" customHeight="1" x14ac:dyDescent="0.15">
      <c r="A68" s="36">
        <v>1</v>
      </c>
      <c r="B68" s="3">
        <v>0.52</v>
      </c>
      <c r="C68" s="4">
        <v>0.69</v>
      </c>
      <c r="D68" s="4">
        <v>0.59</v>
      </c>
      <c r="E68" s="33">
        <v>175</v>
      </c>
      <c r="F68" s="4" t="s">
        <v>133</v>
      </c>
      <c r="G68" s="26"/>
      <c r="H68" s="15"/>
      <c r="I68" s="36">
        <v>1</v>
      </c>
      <c r="J68" s="3">
        <v>0.64</v>
      </c>
      <c r="K68" s="4">
        <v>0.37</v>
      </c>
      <c r="L68" s="4">
        <v>0.47</v>
      </c>
      <c r="M68" s="33">
        <v>1021</v>
      </c>
      <c r="N68" s="4" t="s">
        <v>76</v>
      </c>
      <c r="O68" s="26"/>
      <c r="P68" s="15"/>
      <c r="Q68" s="36">
        <v>1</v>
      </c>
      <c r="R68" s="3">
        <v>0.82</v>
      </c>
      <c r="S68" s="4">
        <v>7.0000000000000007E-2</v>
      </c>
      <c r="T68" s="4">
        <v>0.14000000000000001</v>
      </c>
      <c r="U68" s="33">
        <v>1067</v>
      </c>
      <c r="V68" s="4" t="s">
        <v>149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0.51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0.56000000000000005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0.48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</v>
      </c>
      <c r="C70" s="4">
        <v>0.5</v>
      </c>
      <c r="D70" s="4">
        <v>0.48</v>
      </c>
      <c r="E70" s="33">
        <v>338</v>
      </c>
      <c r="F70" s="4"/>
      <c r="G70" s="26"/>
      <c r="H70" s="15"/>
      <c r="I70" s="37" t="s">
        <v>97</v>
      </c>
      <c r="J70" s="3">
        <v>0.57999999999999996</v>
      </c>
      <c r="K70" s="4">
        <v>0.56999999999999995</v>
      </c>
      <c r="L70" s="4">
        <v>0.54</v>
      </c>
      <c r="M70" s="33">
        <v>1936</v>
      </c>
      <c r="N70" s="4"/>
      <c r="O70" s="26"/>
      <c r="P70" s="15"/>
      <c r="Q70" s="37" t="s">
        <v>97</v>
      </c>
      <c r="R70" s="3">
        <v>0.65</v>
      </c>
      <c r="S70" s="4">
        <v>0.53</v>
      </c>
      <c r="T70" s="4">
        <v>0.38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</v>
      </c>
      <c r="C71" s="4">
        <v>0.51</v>
      </c>
      <c r="D71" s="4">
        <v>0.49</v>
      </c>
      <c r="E71" s="33">
        <v>338</v>
      </c>
      <c r="F71" s="4"/>
      <c r="G71" s="26"/>
      <c r="H71" s="20"/>
      <c r="I71" s="37" t="s">
        <v>98</v>
      </c>
      <c r="J71" s="3">
        <v>0.57999999999999996</v>
      </c>
      <c r="K71" s="4">
        <v>0.56000000000000005</v>
      </c>
      <c r="L71" s="4">
        <v>0.54</v>
      </c>
      <c r="M71" s="33">
        <v>1936</v>
      </c>
      <c r="N71" s="4"/>
      <c r="O71" s="26"/>
      <c r="P71" s="20"/>
      <c r="Q71" s="37" t="s">
        <v>98</v>
      </c>
      <c r="R71" s="3">
        <v>0.66</v>
      </c>
      <c r="S71" s="4">
        <v>0.48</v>
      </c>
      <c r="T71" s="4">
        <v>0.36</v>
      </c>
      <c r="U71" s="33">
        <v>1948</v>
      </c>
      <c r="V71" s="4"/>
      <c r="W71" s="26"/>
    </row>
  </sheetData>
  <mergeCells count="27">
    <mergeCell ref="A49:G49"/>
    <mergeCell ref="I49:O49"/>
    <mergeCell ref="I65:O65"/>
    <mergeCell ref="Q65:W65"/>
    <mergeCell ref="Q49:W49"/>
    <mergeCell ref="A57:G57"/>
    <mergeCell ref="I57:O57"/>
    <mergeCell ref="Q57:W57"/>
    <mergeCell ref="A65:G65"/>
    <mergeCell ref="A33:G33"/>
    <mergeCell ref="I33:O33"/>
    <mergeCell ref="Q33:W33"/>
    <mergeCell ref="A41:G41"/>
    <mergeCell ref="I41:O41"/>
    <mergeCell ref="Q41:W41"/>
    <mergeCell ref="A17:G17"/>
    <mergeCell ref="I17:O17"/>
    <mergeCell ref="Q17:W17"/>
    <mergeCell ref="A25:G25"/>
    <mergeCell ref="I25:O25"/>
    <mergeCell ref="Q25:W25"/>
    <mergeCell ref="A1:G1"/>
    <mergeCell ref="I1:O1"/>
    <mergeCell ref="Q1:W1"/>
    <mergeCell ref="A9:G9"/>
    <mergeCell ref="I9:O9"/>
    <mergeCell ref="Q9:W9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71"/>
  <sheetViews>
    <sheetView showGridLines="0" topLeftCell="P44" zoomScale="110" zoomScaleNormal="67" workbookViewId="0">
      <selection activeCell="P44" sqref="A1:XFD1048576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0.68</v>
      </c>
      <c r="C3" s="16">
        <v>0.67</v>
      </c>
      <c r="D3" s="16">
        <v>0.67</v>
      </c>
      <c r="E3" s="29">
        <v>192</v>
      </c>
      <c r="F3" s="16" t="s">
        <v>150</v>
      </c>
      <c r="G3" s="23">
        <v>0.62785388127853803</v>
      </c>
      <c r="H3" s="15"/>
      <c r="I3" s="35">
        <v>0</v>
      </c>
      <c r="J3" s="10">
        <v>0.68</v>
      </c>
      <c r="K3" s="16">
        <v>0.63</v>
      </c>
      <c r="L3" s="16">
        <v>0.65</v>
      </c>
      <c r="M3" s="29">
        <v>1076</v>
      </c>
      <c r="N3" s="16" t="s">
        <v>59</v>
      </c>
      <c r="O3" s="23">
        <v>0.631220281836258</v>
      </c>
      <c r="P3" s="15"/>
      <c r="Q3" s="35">
        <v>0</v>
      </c>
      <c r="R3" s="10">
        <v>0.73</v>
      </c>
      <c r="S3" s="16">
        <v>0.54</v>
      </c>
      <c r="T3" s="16">
        <v>0.62</v>
      </c>
      <c r="U3" s="29">
        <v>987</v>
      </c>
      <c r="V3" s="16" t="s">
        <v>77</v>
      </c>
      <c r="W3" s="23">
        <v>0.66704726480669096</v>
      </c>
    </row>
    <row r="4" spans="1:23" ht="15" customHeight="1" x14ac:dyDescent="0.15">
      <c r="A4" s="36">
        <v>1</v>
      </c>
      <c r="B4" s="11">
        <v>0.56999999999999995</v>
      </c>
      <c r="C4" s="12">
        <v>0.59</v>
      </c>
      <c r="D4" s="12">
        <v>0.57999999999999996</v>
      </c>
      <c r="E4" s="30">
        <v>146</v>
      </c>
      <c r="F4" s="12" t="s">
        <v>151</v>
      </c>
      <c r="G4" s="24"/>
      <c r="H4" s="15"/>
      <c r="I4" s="36">
        <v>1</v>
      </c>
      <c r="J4" s="11">
        <v>0.57999999999999996</v>
      </c>
      <c r="K4" s="12">
        <v>0.64</v>
      </c>
      <c r="L4" s="12">
        <v>0.6</v>
      </c>
      <c r="M4" s="30">
        <v>860</v>
      </c>
      <c r="N4" s="12" t="s">
        <v>60</v>
      </c>
      <c r="O4" s="24"/>
      <c r="P4" s="15"/>
      <c r="Q4" s="36">
        <v>1</v>
      </c>
      <c r="R4" s="11">
        <v>0.63</v>
      </c>
      <c r="S4" s="12">
        <v>0.8</v>
      </c>
      <c r="T4" s="12">
        <v>0.7</v>
      </c>
      <c r="U4" s="30">
        <v>961</v>
      </c>
      <c r="V4" s="12" t="s">
        <v>78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0.63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0.63</v>
      </c>
      <c r="C6" s="12">
        <v>0.63</v>
      </c>
      <c r="D6" s="12">
        <v>0.63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0.63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0.67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0.63</v>
      </c>
      <c r="C7" s="12">
        <v>0.63</v>
      </c>
      <c r="D7" s="12">
        <v>0.63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0.67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0.65</v>
      </c>
      <c r="C11" s="2">
        <v>0.76</v>
      </c>
      <c r="D11" s="2">
        <v>0.7</v>
      </c>
      <c r="E11" s="32">
        <v>192</v>
      </c>
      <c r="F11" s="19" t="s">
        <v>152</v>
      </c>
      <c r="G11" s="5">
        <v>0.61650970319634602</v>
      </c>
      <c r="H11" s="15"/>
      <c r="I11" s="35">
        <v>0</v>
      </c>
      <c r="J11" s="1">
        <v>0.68</v>
      </c>
      <c r="K11" s="2">
        <v>0.64</v>
      </c>
      <c r="L11" s="2">
        <v>0.66</v>
      </c>
      <c r="M11" s="32">
        <v>1076</v>
      </c>
      <c r="N11" s="19" t="s">
        <v>61</v>
      </c>
      <c r="O11" s="5">
        <v>0.63167848188813003</v>
      </c>
      <c r="P11" s="15"/>
      <c r="Q11" s="35">
        <v>0</v>
      </c>
      <c r="R11" s="1">
        <v>0.68</v>
      </c>
      <c r="S11" s="2">
        <v>0.56999999999999995</v>
      </c>
      <c r="T11" s="2">
        <v>0.62</v>
      </c>
      <c r="U11" s="32">
        <v>987</v>
      </c>
      <c r="V11" s="19" t="s">
        <v>79</v>
      </c>
      <c r="W11" s="5">
        <v>0.64990453417845095</v>
      </c>
    </row>
    <row r="12" spans="1:23" ht="15" customHeight="1" x14ac:dyDescent="0.15">
      <c r="A12" s="36">
        <v>1</v>
      </c>
      <c r="B12" s="3">
        <v>0.6</v>
      </c>
      <c r="C12" s="4">
        <v>0.47</v>
      </c>
      <c r="D12" s="4">
        <v>0.53</v>
      </c>
      <c r="E12" s="33">
        <v>146</v>
      </c>
      <c r="F12" s="4" t="s">
        <v>153</v>
      </c>
      <c r="G12" s="26"/>
      <c r="H12" s="15"/>
      <c r="I12" s="36">
        <v>1</v>
      </c>
      <c r="J12" s="3">
        <v>0.57999999999999996</v>
      </c>
      <c r="K12" s="4">
        <v>0.62</v>
      </c>
      <c r="L12" s="4">
        <v>0.6</v>
      </c>
      <c r="M12" s="33">
        <v>860</v>
      </c>
      <c r="N12" s="4" t="s">
        <v>62</v>
      </c>
      <c r="O12" s="26"/>
      <c r="P12" s="15"/>
      <c r="Q12" s="36">
        <v>1</v>
      </c>
      <c r="R12" s="3">
        <v>0.62</v>
      </c>
      <c r="S12" s="4">
        <v>0.73</v>
      </c>
      <c r="T12" s="4">
        <v>0.67</v>
      </c>
      <c r="U12" s="33">
        <v>961</v>
      </c>
      <c r="V12" s="4" t="s">
        <v>80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0.64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0.63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0.65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0.63</v>
      </c>
      <c r="C14" s="4">
        <v>0.62</v>
      </c>
      <c r="D14" s="4">
        <v>0.62</v>
      </c>
      <c r="E14" s="33">
        <v>338</v>
      </c>
      <c r="F14" s="4"/>
      <c r="G14" s="26"/>
      <c r="H14" s="15"/>
      <c r="I14" s="37" t="s">
        <v>97</v>
      </c>
      <c r="J14" s="3">
        <v>0.63</v>
      </c>
      <c r="K14" s="4">
        <v>0.63</v>
      </c>
      <c r="L14" s="4">
        <v>0.63</v>
      </c>
      <c r="M14" s="33">
        <v>1936</v>
      </c>
      <c r="N14" s="4"/>
      <c r="O14" s="26"/>
      <c r="P14" s="15"/>
      <c r="Q14" s="37" t="s">
        <v>97</v>
      </c>
      <c r="R14" s="3">
        <v>0.65</v>
      </c>
      <c r="S14" s="4">
        <v>0.65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0.63</v>
      </c>
      <c r="C15" s="4">
        <v>0.64</v>
      </c>
      <c r="D15" s="4">
        <v>0.63</v>
      </c>
      <c r="E15" s="33">
        <v>338</v>
      </c>
      <c r="F15" s="4"/>
      <c r="G15" s="26"/>
      <c r="H15" s="15"/>
      <c r="I15" s="37" t="s">
        <v>98</v>
      </c>
      <c r="J15" s="3">
        <v>0.64</v>
      </c>
      <c r="K15" s="4">
        <v>0.63</v>
      </c>
      <c r="L15" s="4">
        <v>0.63</v>
      </c>
      <c r="M15" s="33">
        <v>1936</v>
      </c>
      <c r="N15" s="4"/>
      <c r="O15" s="26"/>
      <c r="P15" s="15"/>
      <c r="Q15" s="37" t="s">
        <v>98</v>
      </c>
      <c r="R15" s="3">
        <v>0.65</v>
      </c>
      <c r="S15" s="4">
        <v>0.65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0.56999999999999995</v>
      </c>
      <c r="C19" s="2">
        <v>0.93</v>
      </c>
      <c r="D19" s="2">
        <v>0.71</v>
      </c>
      <c r="E19" s="32">
        <v>192</v>
      </c>
      <c r="F19" s="2" t="s">
        <v>154</v>
      </c>
      <c r="G19" s="5">
        <v>0.50724172374429199</v>
      </c>
      <c r="H19" s="15"/>
      <c r="I19" s="35">
        <v>0</v>
      </c>
      <c r="J19" s="1">
        <v>0.65</v>
      </c>
      <c r="K19" s="2">
        <v>0.64</v>
      </c>
      <c r="L19" s="2">
        <v>0.64</v>
      </c>
      <c r="M19" s="32">
        <v>1076</v>
      </c>
      <c r="N19" s="2" t="s">
        <v>63</v>
      </c>
      <c r="O19" s="5">
        <v>0.60389037779890997</v>
      </c>
      <c r="P19" s="15"/>
      <c r="Q19" s="35">
        <v>0</v>
      </c>
      <c r="R19" s="1">
        <v>0.65</v>
      </c>
      <c r="S19" s="2">
        <v>0.5</v>
      </c>
      <c r="T19" s="2">
        <v>0.56999999999999995</v>
      </c>
      <c r="U19" s="32">
        <v>987</v>
      </c>
      <c r="V19" s="2" t="s">
        <v>81</v>
      </c>
      <c r="W19" s="5">
        <v>0.61291007868154901</v>
      </c>
    </row>
    <row r="20" spans="1:23" ht="15" customHeight="1" x14ac:dyDescent="0.15">
      <c r="A20" s="36">
        <v>1</v>
      </c>
      <c r="B20" s="3">
        <v>0.48</v>
      </c>
      <c r="C20" s="4">
        <v>0.08</v>
      </c>
      <c r="D20" s="4">
        <v>0.14000000000000001</v>
      </c>
      <c r="E20" s="33">
        <v>146</v>
      </c>
      <c r="F20" s="4" t="s">
        <v>155</v>
      </c>
      <c r="G20" s="26"/>
      <c r="H20" s="15"/>
      <c r="I20" s="36">
        <v>1</v>
      </c>
      <c r="J20" s="3">
        <v>0.56000000000000005</v>
      </c>
      <c r="K20" s="4">
        <v>0.56999999999999995</v>
      </c>
      <c r="L20" s="4">
        <v>0.56000000000000005</v>
      </c>
      <c r="M20" s="33">
        <v>860</v>
      </c>
      <c r="N20" s="4" t="s">
        <v>64</v>
      </c>
      <c r="O20" s="26"/>
      <c r="P20" s="15"/>
      <c r="Q20" s="36">
        <v>1</v>
      </c>
      <c r="R20" s="3">
        <v>0.59</v>
      </c>
      <c r="S20" s="4">
        <v>0.73</v>
      </c>
      <c r="T20" s="4">
        <v>0.65</v>
      </c>
      <c r="U20" s="33">
        <v>961</v>
      </c>
      <c r="V20" s="4" t="s">
        <v>82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0.56999999999999995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0.61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0.61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0.53</v>
      </c>
      <c r="C22" s="4">
        <v>0.51</v>
      </c>
      <c r="D22" s="4">
        <v>0.42</v>
      </c>
      <c r="E22" s="33">
        <v>338</v>
      </c>
      <c r="F22" s="4"/>
      <c r="G22" s="26"/>
      <c r="H22" s="15"/>
      <c r="I22" s="37" t="s">
        <v>97</v>
      </c>
      <c r="J22" s="3">
        <v>0.6</v>
      </c>
      <c r="K22" s="4">
        <v>0.6</v>
      </c>
      <c r="L22" s="4">
        <v>0.6</v>
      </c>
      <c r="M22" s="33">
        <v>1936</v>
      </c>
      <c r="N22" s="4"/>
      <c r="O22" s="26"/>
      <c r="P22" s="15"/>
      <c r="Q22" s="37" t="s">
        <v>97</v>
      </c>
      <c r="R22" s="3">
        <v>0.62</v>
      </c>
      <c r="S22" s="4">
        <v>0.61</v>
      </c>
      <c r="T22" s="4">
        <v>0.61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0.53</v>
      </c>
      <c r="C23" s="4">
        <v>0.56999999999999995</v>
      </c>
      <c r="D23" s="4">
        <v>0.46</v>
      </c>
      <c r="E23" s="33">
        <v>338</v>
      </c>
      <c r="F23" s="4"/>
      <c r="G23" s="26"/>
      <c r="H23" s="15"/>
      <c r="I23" s="37" t="s">
        <v>98</v>
      </c>
      <c r="J23" s="3">
        <v>0.61</v>
      </c>
      <c r="K23" s="4">
        <v>0.61</v>
      </c>
      <c r="L23" s="4">
        <v>0.61</v>
      </c>
      <c r="M23" s="33">
        <v>1936</v>
      </c>
      <c r="N23" s="4"/>
      <c r="O23" s="26"/>
      <c r="P23" s="15"/>
      <c r="Q23" s="37" t="s">
        <v>98</v>
      </c>
      <c r="R23" s="3">
        <v>0.62</v>
      </c>
      <c r="S23" s="4">
        <v>0.61</v>
      </c>
      <c r="T23" s="4">
        <v>0.61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0.59</v>
      </c>
      <c r="C27" s="2">
        <v>0.71</v>
      </c>
      <c r="D27" s="2">
        <v>0.64</v>
      </c>
      <c r="E27" s="32">
        <v>163</v>
      </c>
      <c r="F27" s="2" t="s">
        <v>156</v>
      </c>
      <c r="G27" s="5">
        <v>0.624399649430324</v>
      </c>
      <c r="H27" s="15"/>
      <c r="I27" s="35">
        <v>0</v>
      </c>
      <c r="J27" s="1">
        <v>0.62</v>
      </c>
      <c r="K27" s="2">
        <v>0.57999999999999996</v>
      </c>
      <c r="L27" s="2">
        <v>0.6</v>
      </c>
      <c r="M27" s="32">
        <v>934</v>
      </c>
      <c r="N27" s="2" t="s">
        <v>65</v>
      </c>
      <c r="O27" s="5">
        <v>0.62394589835318603</v>
      </c>
      <c r="P27" s="15"/>
      <c r="Q27" s="35">
        <v>0</v>
      </c>
      <c r="R27" s="1">
        <v>0.69</v>
      </c>
      <c r="S27" s="2">
        <v>0.5</v>
      </c>
      <c r="T27" s="2">
        <v>0.57999999999999996</v>
      </c>
      <c r="U27" s="32">
        <v>808</v>
      </c>
      <c r="V27" s="2" t="s">
        <v>83</v>
      </c>
      <c r="W27" s="5">
        <v>0.67025360430779901</v>
      </c>
    </row>
    <row r="28" spans="1:23" ht="15" customHeight="1" x14ac:dyDescent="0.15">
      <c r="A28" s="36">
        <v>1</v>
      </c>
      <c r="B28" s="3">
        <v>0.67</v>
      </c>
      <c r="C28" s="4">
        <v>0.54</v>
      </c>
      <c r="D28" s="4">
        <v>0.59</v>
      </c>
      <c r="E28" s="33">
        <v>175</v>
      </c>
      <c r="F28" s="4" t="s">
        <v>157</v>
      </c>
      <c r="G28" s="26"/>
      <c r="H28" s="15"/>
      <c r="I28" s="36">
        <v>1</v>
      </c>
      <c r="J28" s="3">
        <v>0.63</v>
      </c>
      <c r="K28" s="4">
        <v>0.67</v>
      </c>
      <c r="L28" s="4">
        <v>0.65</v>
      </c>
      <c r="M28" s="33">
        <v>1002</v>
      </c>
      <c r="N28" s="4" t="s">
        <v>66</v>
      </c>
      <c r="O28" s="26"/>
      <c r="P28" s="15"/>
      <c r="Q28" s="36">
        <v>1</v>
      </c>
      <c r="R28" s="3">
        <v>0.7</v>
      </c>
      <c r="S28" s="4">
        <v>0.84</v>
      </c>
      <c r="T28" s="4">
        <v>0.77</v>
      </c>
      <c r="U28" s="33">
        <v>1140</v>
      </c>
      <c r="V28" s="4" t="s">
        <v>84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0.62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0.63</v>
      </c>
      <c r="C30" s="4">
        <v>0.62</v>
      </c>
      <c r="D30" s="4">
        <v>0.62</v>
      </c>
      <c r="E30" s="33">
        <v>338</v>
      </c>
      <c r="F30" s="4"/>
      <c r="G30" s="26"/>
      <c r="H30" s="15"/>
      <c r="I30" s="37" t="s">
        <v>97</v>
      </c>
      <c r="J30" s="3">
        <v>0.62</v>
      </c>
      <c r="K30" s="4">
        <v>0.62</v>
      </c>
      <c r="L30" s="4">
        <v>0.62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0.67</v>
      </c>
      <c r="T30" s="4">
        <v>0.67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0.63</v>
      </c>
      <c r="C31" s="4">
        <v>0.62</v>
      </c>
      <c r="D31" s="4">
        <v>0.62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0.62</v>
      </c>
      <c r="M31" s="33">
        <v>1936</v>
      </c>
      <c r="N31" s="4"/>
      <c r="O31" s="26"/>
      <c r="P31" s="15"/>
      <c r="Q31" s="37" t="s">
        <v>98</v>
      </c>
      <c r="R31" s="3">
        <v>0.7</v>
      </c>
      <c r="S31" s="4">
        <v>0.7</v>
      </c>
      <c r="T31" s="4">
        <v>0.69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0.56999999999999995</v>
      </c>
      <c r="C35" s="2">
        <v>0.74</v>
      </c>
      <c r="D35" s="2">
        <v>0.64</v>
      </c>
      <c r="E35" s="32">
        <v>163</v>
      </c>
      <c r="F35" s="2" t="s">
        <v>158</v>
      </c>
      <c r="G35" s="5">
        <v>0.60809815950920199</v>
      </c>
      <c r="H35" s="15"/>
      <c r="I35" s="35">
        <v>0</v>
      </c>
      <c r="J35" s="1">
        <v>0.6</v>
      </c>
      <c r="K35" s="2">
        <v>0.63</v>
      </c>
      <c r="L35" s="2">
        <v>0.62</v>
      </c>
      <c r="M35" s="32">
        <v>934</v>
      </c>
      <c r="N35" s="2" t="s">
        <v>67</v>
      </c>
      <c r="O35" s="5">
        <v>0.62023704197600504</v>
      </c>
      <c r="P35" s="15"/>
      <c r="Q35" s="35">
        <v>0</v>
      </c>
      <c r="R35" s="1">
        <v>0.63</v>
      </c>
      <c r="S35" s="2">
        <v>0.57999999999999996</v>
      </c>
      <c r="T35" s="2">
        <v>0.6</v>
      </c>
      <c r="U35" s="32">
        <v>808</v>
      </c>
      <c r="V35" s="2" t="s">
        <v>85</v>
      </c>
      <c r="W35" s="5">
        <v>0.66767413583463597</v>
      </c>
    </row>
    <row r="36" spans="1:23" ht="15" customHeight="1" x14ac:dyDescent="0.15">
      <c r="A36" s="36">
        <v>1</v>
      </c>
      <c r="B36" s="3">
        <v>0.66</v>
      </c>
      <c r="C36" s="4">
        <v>0.48</v>
      </c>
      <c r="D36" s="4">
        <v>0.56000000000000005</v>
      </c>
      <c r="E36" s="33">
        <v>175</v>
      </c>
      <c r="F36" s="4" t="s">
        <v>159</v>
      </c>
      <c r="G36" s="26"/>
      <c r="H36" s="15"/>
      <c r="I36" s="36">
        <v>1</v>
      </c>
      <c r="J36" s="3">
        <v>0.64</v>
      </c>
      <c r="K36" s="4">
        <v>0.61</v>
      </c>
      <c r="L36" s="4">
        <v>0.62</v>
      </c>
      <c r="M36" s="33">
        <v>1002</v>
      </c>
      <c r="N36" s="4" t="s">
        <v>68</v>
      </c>
      <c r="O36" s="26"/>
      <c r="P36" s="15"/>
      <c r="Q36" s="36">
        <v>1</v>
      </c>
      <c r="R36" s="3">
        <v>0.72</v>
      </c>
      <c r="S36" s="4">
        <v>0.76</v>
      </c>
      <c r="T36" s="4">
        <v>0.74</v>
      </c>
      <c r="U36" s="33">
        <v>1140</v>
      </c>
      <c r="V36" s="4" t="s">
        <v>86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0.62</v>
      </c>
      <c r="C38" s="4">
        <v>0.61</v>
      </c>
      <c r="D38" s="4">
        <v>0.6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0.67</v>
      </c>
      <c r="T38" s="4">
        <v>0.67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0.62</v>
      </c>
      <c r="C39" s="4">
        <v>0.6</v>
      </c>
      <c r="D39" s="4">
        <v>0.6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0.68</v>
      </c>
      <c r="S39" s="4">
        <v>0.68</v>
      </c>
      <c r="T39" s="4">
        <v>0.68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0.53</v>
      </c>
      <c r="C43" s="2">
        <v>0.61</v>
      </c>
      <c r="D43" s="2">
        <v>0.56999999999999995</v>
      </c>
      <c r="E43" s="32">
        <v>163</v>
      </c>
      <c r="F43" s="2" t="s">
        <v>160</v>
      </c>
      <c r="G43" s="5">
        <v>0.55246275197195405</v>
      </c>
      <c r="H43" s="15"/>
      <c r="I43" s="35">
        <v>0</v>
      </c>
      <c r="J43" s="1">
        <v>0.6</v>
      </c>
      <c r="K43" s="2">
        <v>0.5</v>
      </c>
      <c r="L43" s="2">
        <v>0.55000000000000004</v>
      </c>
      <c r="M43" s="32">
        <v>934</v>
      </c>
      <c r="N43" s="2" t="s">
        <v>69</v>
      </c>
      <c r="O43" s="5">
        <v>0.59295969089657896</v>
      </c>
      <c r="P43" s="15"/>
      <c r="Q43" s="35">
        <v>0</v>
      </c>
      <c r="R43" s="1">
        <v>0.66</v>
      </c>
      <c r="S43" s="2">
        <v>0.14000000000000001</v>
      </c>
      <c r="T43" s="2">
        <v>0.23</v>
      </c>
      <c r="U43" s="32">
        <v>808</v>
      </c>
      <c r="V43" s="2" t="s">
        <v>87</v>
      </c>
      <c r="W43" s="5">
        <v>0.54528617335417695</v>
      </c>
    </row>
    <row r="44" spans="1:23" ht="15" customHeight="1" x14ac:dyDescent="0.15">
      <c r="A44" s="36">
        <v>1</v>
      </c>
      <c r="B44" s="3">
        <v>0.57999999999999996</v>
      </c>
      <c r="C44" s="4">
        <v>0.49</v>
      </c>
      <c r="D44" s="4">
        <v>0.53</v>
      </c>
      <c r="E44" s="33">
        <v>175</v>
      </c>
      <c r="F44" s="4" t="s">
        <v>125</v>
      </c>
      <c r="G44" s="26"/>
      <c r="H44" s="15"/>
      <c r="I44" s="36">
        <v>1</v>
      </c>
      <c r="J44" s="3">
        <v>0.6</v>
      </c>
      <c r="K44" s="4">
        <v>0.68</v>
      </c>
      <c r="L44" s="4">
        <v>0.64</v>
      </c>
      <c r="M44" s="33">
        <v>1002</v>
      </c>
      <c r="N44" s="4" t="s">
        <v>70</v>
      </c>
      <c r="O44" s="26"/>
      <c r="P44" s="15"/>
      <c r="Q44" s="36">
        <v>1</v>
      </c>
      <c r="R44" s="3">
        <v>0.61</v>
      </c>
      <c r="S44" s="4">
        <v>0.95</v>
      </c>
      <c r="T44" s="4">
        <v>0.74</v>
      </c>
      <c r="U44" s="33">
        <v>1140</v>
      </c>
      <c r="V44" s="4" t="s">
        <v>88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0.55000000000000004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0.6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0.61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0.55000000000000004</v>
      </c>
      <c r="C46" s="4">
        <v>0.55000000000000004</v>
      </c>
      <c r="D46" s="4">
        <v>0.55000000000000004</v>
      </c>
      <c r="E46" s="33">
        <v>338</v>
      </c>
      <c r="F46" s="4"/>
      <c r="G46" s="26"/>
      <c r="H46" s="15"/>
      <c r="I46" s="37" t="s">
        <v>97</v>
      </c>
      <c r="J46" s="3">
        <v>0.6</v>
      </c>
      <c r="K46" s="4">
        <v>0.59</v>
      </c>
      <c r="L46" s="4">
        <v>0.59</v>
      </c>
      <c r="M46" s="33">
        <v>1936</v>
      </c>
      <c r="N46" s="4"/>
      <c r="O46" s="26"/>
      <c r="P46" s="15"/>
      <c r="Q46" s="37" t="s">
        <v>97</v>
      </c>
      <c r="R46" s="3">
        <v>0.64</v>
      </c>
      <c r="S46" s="4">
        <v>0.55000000000000004</v>
      </c>
      <c r="T46" s="4">
        <v>0.49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0.55000000000000004</v>
      </c>
      <c r="C47" s="4">
        <v>0.55000000000000004</v>
      </c>
      <c r="D47" s="4">
        <v>0.55000000000000004</v>
      </c>
      <c r="E47" s="33">
        <v>338</v>
      </c>
      <c r="F47" s="4"/>
      <c r="G47" s="26"/>
      <c r="H47" s="15"/>
      <c r="I47" s="37" t="s">
        <v>98</v>
      </c>
      <c r="J47" s="3">
        <v>0.6</v>
      </c>
      <c r="K47" s="4">
        <v>0.6</v>
      </c>
      <c r="L47" s="4">
        <v>0.59</v>
      </c>
      <c r="M47" s="33">
        <v>1936</v>
      </c>
      <c r="N47" s="4"/>
      <c r="O47" s="26"/>
      <c r="P47" s="15"/>
      <c r="Q47" s="37" t="s">
        <v>98</v>
      </c>
      <c r="R47" s="3">
        <v>0.63</v>
      </c>
      <c r="S47" s="4">
        <v>0.61</v>
      </c>
      <c r="T47" s="4">
        <v>0.53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0.62</v>
      </c>
      <c r="C51" s="2">
        <v>0.33</v>
      </c>
      <c r="D51" s="2">
        <v>0.43</v>
      </c>
      <c r="E51" s="32">
        <v>163</v>
      </c>
      <c r="F51" s="2" t="s">
        <v>161</v>
      </c>
      <c r="G51" s="5">
        <v>0.57114811568799295</v>
      </c>
      <c r="H51" s="15"/>
      <c r="I51" s="35">
        <v>0</v>
      </c>
      <c r="J51" s="1">
        <v>0.66</v>
      </c>
      <c r="K51" s="2">
        <v>0.33</v>
      </c>
      <c r="L51" s="2">
        <v>0.44</v>
      </c>
      <c r="M51" s="32">
        <v>915</v>
      </c>
      <c r="N51" s="2" t="s">
        <v>71</v>
      </c>
      <c r="O51" s="5">
        <v>0.58949759958895898</v>
      </c>
      <c r="P51" s="15"/>
      <c r="Q51" s="35">
        <v>0</v>
      </c>
      <c r="R51" s="1">
        <v>0.65</v>
      </c>
      <c r="S51" s="2">
        <v>0.37</v>
      </c>
      <c r="T51" s="2">
        <v>0.47</v>
      </c>
      <c r="U51" s="32">
        <v>881</v>
      </c>
      <c r="V51" s="2" t="s">
        <v>89</v>
      </c>
      <c r="W51" s="5">
        <v>0.60027265174298094</v>
      </c>
    </row>
    <row r="52" spans="1:23" ht="15" customHeight="1" x14ac:dyDescent="0.15">
      <c r="A52" s="36">
        <v>1</v>
      </c>
      <c r="B52" s="3">
        <v>0.56999999999999995</v>
      </c>
      <c r="C52" s="4">
        <v>0.82</v>
      </c>
      <c r="D52" s="4">
        <v>0.67</v>
      </c>
      <c r="E52" s="33">
        <v>175</v>
      </c>
      <c r="F52" s="4" t="s">
        <v>54</v>
      </c>
      <c r="G52" s="26"/>
      <c r="H52" s="15"/>
      <c r="I52" s="36">
        <v>1</v>
      </c>
      <c r="J52" s="3">
        <v>0.59</v>
      </c>
      <c r="K52" s="4">
        <v>0.85</v>
      </c>
      <c r="L52" s="4">
        <v>0.69</v>
      </c>
      <c r="M52" s="33">
        <v>1021</v>
      </c>
      <c r="N52" s="4" t="s">
        <v>72</v>
      </c>
      <c r="O52" s="26"/>
      <c r="P52" s="15"/>
      <c r="Q52" s="36">
        <v>1</v>
      </c>
      <c r="R52" s="3">
        <v>0.61</v>
      </c>
      <c r="S52" s="4">
        <v>0.84</v>
      </c>
      <c r="T52" s="4">
        <v>0.71</v>
      </c>
      <c r="U52" s="33">
        <v>1067</v>
      </c>
      <c r="V52" s="4" t="s">
        <v>90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0.57999999999999996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0.6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0.62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0.59</v>
      </c>
      <c r="C54" s="4">
        <v>0.56999999999999995</v>
      </c>
      <c r="D54" s="4">
        <v>0.55000000000000004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0.59</v>
      </c>
      <c r="L54" s="4">
        <v>0.56999999999999995</v>
      </c>
      <c r="M54" s="33">
        <v>1936</v>
      </c>
      <c r="N54" s="4"/>
      <c r="O54" s="26"/>
      <c r="P54" s="15"/>
      <c r="Q54" s="37" t="s">
        <v>97</v>
      </c>
      <c r="R54" s="3">
        <v>0.63</v>
      </c>
      <c r="S54" s="4">
        <v>0.6</v>
      </c>
      <c r="T54" s="4">
        <v>0.59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0.59</v>
      </c>
      <c r="C55" s="4">
        <v>0.57999999999999996</v>
      </c>
      <c r="D55" s="4">
        <v>0.55000000000000004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0.6</v>
      </c>
      <c r="L55" s="4">
        <v>0.56999999999999995</v>
      </c>
      <c r="M55" s="33">
        <v>1936</v>
      </c>
      <c r="N55" s="4"/>
      <c r="O55" s="26"/>
      <c r="P55" s="15"/>
      <c r="Q55" s="37" t="s">
        <v>98</v>
      </c>
      <c r="R55" s="3">
        <v>0.63</v>
      </c>
      <c r="S55" s="4">
        <v>0.62</v>
      </c>
      <c r="T55" s="4">
        <v>0.6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0.56999999999999995</v>
      </c>
      <c r="C59" s="2">
        <v>0.48</v>
      </c>
      <c r="D59" s="2">
        <v>0.52</v>
      </c>
      <c r="E59" s="32">
        <v>163</v>
      </c>
      <c r="F59" s="2" t="s">
        <v>162</v>
      </c>
      <c r="G59" s="5">
        <v>0.57375985977212896</v>
      </c>
      <c r="H59" s="15"/>
      <c r="I59" s="35">
        <v>0</v>
      </c>
      <c r="J59" s="1">
        <v>0.6</v>
      </c>
      <c r="K59" s="2">
        <v>0.44</v>
      </c>
      <c r="L59" s="2">
        <v>0.51</v>
      </c>
      <c r="M59" s="32">
        <v>915</v>
      </c>
      <c r="N59" s="2" t="s">
        <v>73</v>
      </c>
      <c r="O59" s="5">
        <v>0.58837152047440899</v>
      </c>
      <c r="P59" s="15"/>
      <c r="Q59" s="35">
        <v>0</v>
      </c>
      <c r="R59" s="1">
        <v>0.62</v>
      </c>
      <c r="S59" s="2">
        <v>0.38</v>
      </c>
      <c r="T59" s="2">
        <v>0.47</v>
      </c>
      <c r="U59" s="32">
        <v>881</v>
      </c>
      <c r="V59" s="2" t="s">
        <v>91</v>
      </c>
      <c r="W59" s="5">
        <v>0.59319679115599799</v>
      </c>
    </row>
    <row r="60" spans="1:23" ht="15" customHeight="1" x14ac:dyDescent="0.15">
      <c r="A60" s="36">
        <v>1</v>
      </c>
      <c r="B60" s="3">
        <v>0.57999999999999996</v>
      </c>
      <c r="C60" s="4">
        <v>0.66</v>
      </c>
      <c r="D60" s="4">
        <v>0.62</v>
      </c>
      <c r="E60" s="33">
        <v>175</v>
      </c>
      <c r="F60" s="4" t="s">
        <v>163</v>
      </c>
      <c r="G60" s="26"/>
      <c r="H60" s="15"/>
      <c r="I60" s="36">
        <v>1</v>
      </c>
      <c r="J60" s="3">
        <v>0.59</v>
      </c>
      <c r="K60" s="4">
        <v>0.74</v>
      </c>
      <c r="L60" s="4">
        <v>0.66</v>
      </c>
      <c r="M60" s="33">
        <v>1021</v>
      </c>
      <c r="N60" s="4" t="s">
        <v>74</v>
      </c>
      <c r="O60" s="26"/>
      <c r="P60" s="15"/>
      <c r="Q60" s="36">
        <v>1</v>
      </c>
      <c r="R60" s="3">
        <v>0.61</v>
      </c>
      <c r="S60" s="4">
        <v>0.81</v>
      </c>
      <c r="T60" s="4">
        <v>0.7</v>
      </c>
      <c r="U60" s="33">
        <v>1067</v>
      </c>
      <c r="V60" s="4" t="s">
        <v>92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0.57999999999999996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0.6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0.61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0.57999999999999996</v>
      </c>
      <c r="C62" s="4">
        <v>0.56999999999999995</v>
      </c>
      <c r="D62" s="4">
        <v>0.56999999999999995</v>
      </c>
      <c r="E62" s="33">
        <v>338</v>
      </c>
      <c r="F62" s="4"/>
      <c r="G62" s="26"/>
      <c r="H62" s="15"/>
      <c r="I62" s="37" t="s">
        <v>97</v>
      </c>
      <c r="J62" s="3">
        <v>0.6</v>
      </c>
      <c r="K62" s="4">
        <v>0.59</v>
      </c>
      <c r="L62" s="4">
        <v>0.57999999999999996</v>
      </c>
      <c r="M62" s="33">
        <v>1936</v>
      </c>
      <c r="N62" s="4"/>
      <c r="O62" s="26"/>
      <c r="P62" s="15"/>
      <c r="Q62" s="37" t="s">
        <v>97</v>
      </c>
      <c r="R62" s="3">
        <v>0.62</v>
      </c>
      <c r="S62" s="4">
        <v>0.59</v>
      </c>
      <c r="T62" s="4">
        <v>0.57999999999999996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0.57999999999999996</v>
      </c>
      <c r="C63" s="4">
        <v>0.57999999999999996</v>
      </c>
      <c r="D63" s="4">
        <v>0.56999999999999995</v>
      </c>
      <c r="E63" s="33">
        <v>338</v>
      </c>
      <c r="F63" s="4"/>
      <c r="G63" s="26"/>
      <c r="H63" s="15"/>
      <c r="I63" s="37" t="s">
        <v>98</v>
      </c>
      <c r="J63" s="3">
        <v>0.6</v>
      </c>
      <c r="K63" s="4">
        <v>0.6</v>
      </c>
      <c r="L63" s="4">
        <v>0.59</v>
      </c>
      <c r="M63" s="33">
        <v>1936</v>
      </c>
      <c r="N63" s="4"/>
      <c r="O63" s="26"/>
      <c r="P63" s="15"/>
      <c r="Q63" s="37" t="s">
        <v>98</v>
      </c>
      <c r="R63" s="3">
        <v>0.62</v>
      </c>
      <c r="S63" s="4">
        <v>0.61</v>
      </c>
      <c r="T63" s="4">
        <v>0.59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0.51</v>
      </c>
      <c r="C67" s="2">
        <v>0.47</v>
      </c>
      <c r="D67" s="2">
        <v>0.49</v>
      </c>
      <c r="E67" s="32">
        <v>163</v>
      </c>
      <c r="F67" s="2" t="s">
        <v>164</v>
      </c>
      <c r="G67" s="5">
        <v>0.52741454864154202</v>
      </c>
      <c r="H67" s="15"/>
      <c r="I67" s="35">
        <v>0</v>
      </c>
      <c r="J67" s="1">
        <v>0.52</v>
      </c>
      <c r="K67" s="2">
        <v>0.77</v>
      </c>
      <c r="L67" s="2">
        <v>0.62</v>
      </c>
      <c r="M67" s="32">
        <v>915</v>
      </c>
      <c r="N67" s="2" t="s">
        <v>75</v>
      </c>
      <c r="O67" s="5">
        <v>0.56888938841701298</v>
      </c>
      <c r="P67" s="15"/>
      <c r="Q67" s="35">
        <v>0</v>
      </c>
      <c r="R67" s="1">
        <v>0.5</v>
      </c>
      <c r="S67" s="2">
        <v>0.82</v>
      </c>
      <c r="T67" s="2">
        <v>0.62</v>
      </c>
      <c r="U67" s="32">
        <v>881</v>
      </c>
      <c r="V67" s="2" t="s">
        <v>93</v>
      </c>
      <c r="W67" s="5">
        <v>0.576756305935893</v>
      </c>
    </row>
    <row r="68" spans="1:23" ht="15" customHeight="1" x14ac:dyDescent="0.15">
      <c r="A68" s="36">
        <v>1</v>
      </c>
      <c r="B68" s="3">
        <v>0.54</v>
      </c>
      <c r="C68" s="4">
        <v>0.59</v>
      </c>
      <c r="D68" s="4">
        <v>0.56000000000000005</v>
      </c>
      <c r="E68" s="33">
        <v>175</v>
      </c>
      <c r="F68" s="4" t="s">
        <v>165</v>
      </c>
      <c r="G68" s="26"/>
      <c r="H68" s="15"/>
      <c r="I68" s="36">
        <v>1</v>
      </c>
      <c r="J68" s="3">
        <v>0.64</v>
      </c>
      <c r="K68" s="4">
        <v>0.37</v>
      </c>
      <c r="L68" s="4">
        <v>0.47</v>
      </c>
      <c r="M68" s="33">
        <v>1021</v>
      </c>
      <c r="N68" s="4" t="s">
        <v>76</v>
      </c>
      <c r="O68" s="26"/>
      <c r="P68" s="15"/>
      <c r="Q68" s="36">
        <v>1</v>
      </c>
      <c r="R68" s="3">
        <v>0.69</v>
      </c>
      <c r="S68" s="4">
        <v>0.34</v>
      </c>
      <c r="T68" s="4">
        <v>0.45</v>
      </c>
      <c r="U68" s="33">
        <v>1067</v>
      </c>
      <c r="V68" s="4" t="s">
        <v>94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0.53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0.56000000000000005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0.55000000000000004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0.53</v>
      </c>
      <c r="C70" s="4">
        <v>0.53</v>
      </c>
      <c r="D70" s="4">
        <v>0.53</v>
      </c>
      <c r="E70" s="33">
        <v>338</v>
      </c>
      <c r="F70" s="4"/>
      <c r="G70" s="26"/>
      <c r="H70" s="15"/>
      <c r="I70" s="37" t="s">
        <v>97</v>
      </c>
      <c r="J70" s="3">
        <v>0.57999999999999996</v>
      </c>
      <c r="K70" s="4">
        <v>0.56999999999999995</v>
      </c>
      <c r="L70" s="4">
        <v>0.54</v>
      </c>
      <c r="M70" s="33">
        <v>1936</v>
      </c>
      <c r="N70" s="4"/>
      <c r="O70" s="26"/>
      <c r="P70" s="15"/>
      <c r="Q70" s="37" t="s">
        <v>97</v>
      </c>
      <c r="R70" s="3">
        <v>0.6</v>
      </c>
      <c r="S70" s="4">
        <v>0.57999999999999996</v>
      </c>
      <c r="T70" s="4">
        <v>0.54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0.53</v>
      </c>
      <c r="C71" s="4">
        <v>0.53</v>
      </c>
      <c r="D71" s="4">
        <v>0.53</v>
      </c>
      <c r="E71" s="33">
        <v>338</v>
      </c>
      <c r="F71" s="4"/>
      <c r="G71" s="26"/>
      <c r="H71" s="20"/>
      <c r="I71" s="37" t="s">
        <v>98</v>
      </c>
      <c r="J71" s="3">
        <v>0.57999999999999996</v>
      </c>
      <c r="K71" s="4">
        <v>0.56000000000000005</v>
      </c>
      <c r="L71" s="4">
        <v>0.54</v>
      </c>
      <c r="M71" s="33">
        <v>1936</v>
      </c>
      <c r="N71" s="4"/>
      <c r="O71" s="26"/>
      <c r="P71" s="20"/>
      <c r="Q71" s="37" t="s">
        <v>98</v>
      </c>
      <c r="R71" s="3">
        <v>0.61</v>
      </c>
      <c r="S71" s="4">
        <v>0.55000000000000004</v>
      </c>
      <c r="T71" s="4">
        <v>0.53</v>
      </c>
      <c r="U71" s="33">
        <v>1948</v>
      </c>
      <c r="V71" s="4"/>
      <c r="W71" s="26"/>
    </row>
  </sheetData>
  <mergeCells count="27">
    <mergeCell ref="A49:G49"/>
    <mergeCell ref="I49:O49"/>
    <mergeCell ref="I65:O65"/>
    <mergeCell ref="Q65:W65"/>
    <mergeCell ref="Q49:W49"/>
    <mergeCell ref="A57:G57"/>
    <mergeCell ref="I57:O57"/>
    <mergeCell ref="Q57:W57"/>
    <mergeCell ref="A65:G65"/>
    <mergeCell ref="A33:G33"/>
    <mergeCell ref="I33:O33"/>
    <mergeCell ref="Q33:W33"/>
    <mergeCell ref="A41:G41"/>
    <mergeCell ref="I41:O41"/>
    <mergeCell ref="Q41:W41"/>
    <mergeCell ref="A17:G17"/>
    <mergeCell ref="I17:O17"/>
    <mergeCell ref="Q17:W17"/>
    <mergeCell ref="A25:G25"/>
    <mergeCell ref="I25:O25"/>
    <mergeCell ref="Q25:W25"/>
    <mergeCell ref="A1:G1"/>
    <mergeCell ref="I1:O1"/>
    <mergeCell ref="Q1:W1"/>
    <mergeCell ref="A9:G9"/>
    <mergeCell ref="I9:O9"/>
    <mergeCell ref="Q9:W9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D4860-6F1F-BA45-B4E6-FDCD8DE84079}">
  <dimension ref="A1:G57"/>
  <sheetViews>
    <sheetView zoomScale="75" workbookViewId="0">
      <selection activeCell="F28" sqref="F28"/>
    </sheetView>
  </sheetViews>
  <sheetFormatPr baseColWidth="10" defaultRowHeight="13" x14ac:dyDescent="0.15"/>
  <cols>
    <col min="2" max="2" width="21.6640625" style="27" customWidth="1"/>
    <col min="3" max="3" width="21.1640625" customWidth="1"/>
    <col min="4" max="6" width="21.6640625" customWidth="1"/>
    <col min="7" max="7" width="21" customWidth="1"/>
  </cols>
  <sheetData>
    <row r="1" spans="1:7" ht="14" x14ac:dyDescent="0.15">
      <c r="A1" s="6" t="s">
        <v>39</v>
      </c>
      <c r="B1" s="45" t="s">
        <v>33</v>
      </c>
      <c r="C1" s="45"/>
      <c r="D1" s="45" t="s">
        <v>34</v>
      </c>
      <c r="E1" s="45"/>
      <c r="F1" s="45" t="s">
        <v>35</v>
      </c>
      <c r="G1" s="45"/>
    </row>
    <row r="2" spans="1:7" ht="14" customHeight="1" x14ac:dyDescent="0.15">
      <c r="A2" s="9" t="s">
        <v>36</v>
      </c>
      <c r="B2" s="39">
        <f>MAX('zero (1995-2023)'!G3,'zero (1995-2023)'!G11,'zero (1995-2023)'!G19,'mean (1995-2023)'!G3,'mean (1995-2023)'!G11,'mean (1995-2023)'!G19,'median (1995-2023)'!G3,'median (1995-2023)'!G11,'median (1995-2023)'!G19)</f>
        <v>0.68154252283104999</v>
      </c>
      <c r="C2" s="9" t="s">
        <v>168</v>
      </c>
      <c r="D2" s="39">
        <f>MAX('zero (1995-2023)'!G27,'zero (1995-2023)'!G35,'zero (1995-2023)'!G43,'mean (1995-2023)'!G27,'mean (1995-2023)'!G35,'mean (1995-2023)'!G43,'median (1995-2023)'!G27,'median (1995-2023)'!G35,'median (1995-2023)'!G43)</f>
        <v>0.63236531986531896</v>
      </c>
      <c r="E2" s="9" t="s">
        <v>168</v>
      </c>
      <c r="F2" s="39">
        <f>MAX('zero (1995-2023)'!G51,'zero (1995-2023)'!G59,'zero (1995-2023)'!G67,'mean (1995-2023)'!G51,'mean (1995-2023)'!G59,'mean (1995-2023)'!G66,'median (1995-2023)'!G51,'median (1995-2023)'!G59,'median (1995-2023)'!G67)</f>
        <v>0.58669588080630997</v>
      </c>
      <c r="G2" s="9" t="s">
        <v>170</v>
      </c>
    </row>
    <row r="3" spans="1:7" ht="14" x14ac:dyDescent="0.15">
      <c r="A3" s="9" t="s">
        <v>37</v>
      </c>
      <c r="B3" s="39">
        <f>MAX('zero (1995-2023)'!O3,'zero (1995-2023)'!O11,'zero (1995-2023)'!O19,'mean (1995-2023)'!O3,'mean (1995-2023)'!O11,'mean (1995-2023)'!O19,'median (1995-2023)'!O3,'median (1995-2023)'!O11,'median (1995-2023)'!O19)</f>
        <v>0.63929935445533803</v>
      </c>
      <c r="C3" s="9" t="s">
        <v>169</v>
      </c>
      <c r="D3" s="39">
        <f>MAX('zero (1995-2023)'!O27,'zero (1995-2023)'!O35,'zero (1995-2023)'!O43,'mean (1995-2023)'!O27,'mean (1995-2023)'!O35,'mean (1995-2023)'!O43,'median (1995-2023)'!O27,'median (1995-2023)'!O35,'median (1995-2023)'!O43)</f>
        <v>0.62697707025973304</v>
      </c>
      <c r="E3" s="9" t="s">
        <v>170</v>
      </c>
      <c r="F3" s="39">
        <f>MAX('zero (1995-2023)'!O51,'zero (1995-2023)'!O59,'zero (1995-2023)'!O67,'mean (1995-2023)'!O51,'mean (1995-2023)'!O59,'mean (1995-2023)'!O66,'median (1995-2023)'!O51,'median (1995-2023)'!O59,'median (1995-2023)'!O67)</f>
        <v>0.58993325947453201</v>
      </c>
      <c r="G3" s="9" t="s">
        <v>169</v>
      </c>
    </row>
    <row r="4" spans="1:7" ht="14" x14ac:dyDescent="0.15">
      <c r="A4" s="9" t="s">
        <v>38</v>
      </c>
      <c r="B4" s="39">
        <f>MAX('zero (1995-2023)'!W3,'zero (1995-2023)'!W11,'zero (1995-2023)'!W19,'mean (1995-2023)'!W3,'mean (1995-2023)'!W11,'mean (1995-2023)'!W19,'median (1995-2023)'!W3,'median (1995-2023)'!W11,'median (1995-2023)'!W19)</f>
        <v>0.67059336409747095</v>
      </c>
      <c r="C4" s="9" t="s">
        <v>170</v>
      </c>
      <c r="D4" s="39">
        <f>MAX('zero (1995-2023)'!W27,'zero (1995-2023)'!W35,'zero (1995-2023)'!W43,'mean (1995-2023)'!W27,'mean (1995-2023)'!W35,'mean (1995-2023)'!W43,'median (1995-2023)'!W27,'median (1995-2023)'!W35,'median (1995-2023)'!W43)</f>
        <v>0.68586647573173598</v>
      </c>
      <c r="E4" s="9" t="s">
        <v>170</v>
      </c>
      <c r="F4" s="39">
        <f>MAX('zero (1995-2023)'!W51,'zero (1995-2023)'!W59,'zero (1995-2023)'!W67,'mean (1995-2023)'!W51,'mean (1995-2023)'!W59,'mean (1995-2023)'!W66,'median (1995-2023)'!W51,'median (1995-2023)'!W59,'median (1995-2023)'!W67)</f>
        <v>0.60635917904485703</v>
      </c>
      <c r="G4" s="9" t="s">
        <v>170</v>
      </c>
    </row>
    <row r="6" spans="1:7" ht="14" x14ac:dyDescent="0.15">
      <c r="A6" s="6" t="s">
        <v>40</v>
      </c>
      <c r="B6" s="45" t="s">
        <v>33</v>
      </c>
      <c r="C6" s="45"/>
      <c r="D6" s="45" t="s">
        <v>34</v>
      </c>
      <c r="E6" s="45"/>
      <c r="F6" s="45" t="s">
        <v>35</v>
      </c>
      <c r="G6" s="45"/>
    </row>
    <row r="7" spans="1:7" ht="14" x14ac:dyDescent="0.15">
      <c r="A7" s="9" t="s">
        <v>36</v>
      </c>
      <c r="B7" s="8">
        <f>MAX('zero (1995-2023)'!D5,'zero (1995-2023)'!D13,'zero (1995-2023)'!D21,'mean (1995-2023)'!D5,'mean (1995-2023)'!D13,'mean (1995-2023)'!D21,'median (1995-2023)'!D5,'median (1995-2023)'!D13,'median (1995-2023)'!D21)</f>
        <v>0.67</v>
      </c>
      <c r="C7" s="9" t="s">
        <v>168</v>
      </c>
      <c r="D7" s="8">
        <f>MAX('zero (1995-2023)'!D29,'zero (1995-2023)'!D37,'zero (1995-2023)'!D45,'mean (1995-2023)'!D29,'mean (1995-2023)'!D37,'mean (1995-2023)'!D45,'median (1995-2023)'!D29,'median (1995-2023)'!D37,'median (1995-2023)'!D45)</f>
        <v>0.63</v>
      </c>
      <c r="E7" s="9" t="s">
        <v>172</v>
      </c>
      <c r="F7" s="8">
        <f>MAX('zero (1995-2023)'!D53,'zero (1995-2023)'!D61,'zero (1995-2023)'!D69,'mean (1995-2023)'!D53,'mean (1995-2023)'!D61,'mean (1995-2023)'!D69,'median (1995-2023)'!D53,'median (1995-2023)'!D61,'median (1995-2023)'!D69)</f>
        <v>0.59</v>
      </c>
      <c r="G7" s="9" t="s">
        <v>170</v>
      </c>
    </row>
    <row r="8" spans="1:7" ht="28" x14ac:dyDescent="0.15">
      <c r="A8" s="9" t="s">
        <v>37</v>
      </c>
      <c r="B8" s="8">
        <f>MAX('zero (1995-2023)'!L5,'zero (1995-2023)'!L13,'zero (1995-2023)'!L21,'mean (1995-2023)'!L5,'mean (1995-2023)'!L13,'mean (1995-2023)'!L21,'median (1995-2023)'!L5,'median (1995-2023)'!L13,'median (1995-2023)'!L21)</f>
        <v>0.64</v>
      </c>
      <c r="C8" s="9" t="s">
        <v>171</v>
      </c>
      <c r="D8" s="8">
        <f>MAX('zero (1995-2023)'!L29,'zero (1995-2023)'!L37,'zero (1995-2023)'!L45,'mean (1995-2023)'!L29,'mean (1995-2023)'!L37,'mean (1995-2023)'!L45,'median (1995-2023)'!L29,'median (1995-2023)'!L37,'median (1995-2023)'!L45)</f>
        <v>0.63</v>
      </c>
      <c r="E8" s="9" t="s">
        <v>99</v>
      </c>
      <c r="F8" s="8">
        <f>MAX('zero (1995-2023)'!L53,'zero (1995-2023)'!L61,'zero (1995-2023)'!L69,'mean (1995-2023)'!L53,'mean (1995-2023)'!L61,'mean (1995-2023)'!L69,'median (1995-2023)'!L53,'median (1995-2023)'!L61,'median (1995-2023)'!L69)</f>
        <v>0.6</v>
      </c>
      <c r="G8" s="9" t="s">
        <v>173</v>
      </c>
    </row>
    <row r="9" spans="1:7" ht="14" customHeight="1" x14ac:dyDescent="0.15">
      <c r="A9" s="9" t="s">
        <v>38</v>
      </c>
      <c r="B9" s="8">
        <f>MAX('zero (1995-2023)'!T5,'zero (1995-2023)'!T13,'zero (1995-2023)'!T21,'mean (1995-2023)'!T5,'mean (1995-2023)'!T13,'mean (1995-2023)'!T21,'median (1995-2023)'!T5,'median (1995-2023)'!T13,'median (1995-2023)'!T21)</f>
        <v>0.67</v>
      </c>
      <c r="C9" s="9" t="s">
        <v>99</v>
      </c>
      <c r="D9" s="8">
        <f>MAX('zero (1995-2023)'!T29,'zero (1995-2023)'!T37,'zero (1995-2023)'!T45,'mean (1995-2023)'!T29,'mean (1995-2023)'!T37,'mean (1995-2023)'!T45,'median (1995-2023)'!T29,'median (1995-2023)'!T37,'median (1995-2023)'!T45)</f>
        <v>0.71</v>
      </c>
      <c r="E9" s="9" t="s">
        <v>170</v>
      </c>
      <c r="F9" s="8">
        <f>MAX('zero (1995-2023)'!T53,'zero (1995-2023)'!T61,'zero (1995-2023)'!T69,'mean (1995-2023)'!T53,'mean (1995-2023)'!T61,'mean (1995-2023)'!T69,'median (1995-2023)'!T53,'median (1995-2023)'!T61,'median (1995-2023)'!T69)</f>
        <v>0.63</v>
      </c>
      <c r="G9" s="9" t="s">
        <v>170</v>
      </c>
    </row>
    <row r="12" spans="1:7" x14ac:dyDescent="0.15">
      <c r="B12"/>
    </row>
    <row r="13" spans="1:7" x14ac:dyDescent="0.15">
      <c r="B13"/>
    </row>
    <row r="14" spans="1:7" x14ac:dyDescent="0.15">
      <c r="B14"/>
    </row>
    <row r="15" spans="1:7" x14ac:dyDescent="0.15">
      <c r="B15"/>
    </row>
    <row r="16" spans="1:7" x14ac:dyDescent="0.15">
      <c r="B16"/>
    </row>
    <row r="17" spans="2:2" x14ac:dyDescent="0.15">
      <c r="B17"/>
    </row>
    <row r="18" spans="2:2" x14ac:dyDescent="0.15">
      <c r="B18"/>
    </row>
    <row r="19" spans="2:2" x14ac:dyDescent="0.15">
      <c r="B19"/>
    </row>
    <row r="20" spans="2:2" x14ac:dyDescent="0.15">
      <c r="B20"/>
    </row>
    <row r="21" spans="2:2" x14ac:dyDescent="0.15">
      <c r="B21"/>
    </row>
    <row r="22" spans="2:2" x14ac:dyDescent="0.15">
      <c r="B22"/>
    </row>
    <row r="23" spans="2:2" x14ac:dyDescent="0.15">
      <c r="B23"/>
    </row>
    <row r="24" spans="2:2" x14ac:dyDescent="0.15">
      <c r="B24"/>
    </row>
    <row r="25" spans="2:2" x14ac:dyDescent="0.15">
      <c r="B25"/>
    </row>
    <row r="51" spans="5:5" x14ac:dyDescent="0.15">
      <c r="E51" s="27"/>
    </row>
    <row r="52" spans="5:5" x14ac:dyDescent="0.15">
      <c r="E52" s="27"/>
    </row>
    <row r="53" spans="5:5" x14ac:dyDescent="0.15">
      <c r="E53" s="27"/>
    </row>
    <row r="54" spans="5:5" x14ac:dyDescent="0.15">
      <c r="E54" s="27"/>
    </row>
    <row r="55" spans="5:5" x14ac:dyDescent="0.15">
      <c r="E55" s="27"/>
    </row>
    <row r="56" spans="5:5" x14ac:dyDescent="0.15">
      <c r="E56" s="27"/>
    </row>
    <row r="57" spans="5:5" x14ac:dyDescent="0.15">
      <c r="E57" s="27"/>
    </row>
  </sheetData>
  <mergeCells count="6">
    <mergeCell ref="B1:C1"/>
    <mergeCell ref="D1:E1"/>
    <mergeCell ref="F1:G1"/>
    <mergeCell ref="B6:C6"/>
    <mergeCell ref="D6:E6"/>
    <mergeCell ref="F6:G6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W71"/>
  <sheetViews>
    <sheetView showGridLines="0" workbookViewId="0">
      <selection sqref="A1:XFD1048576"/>
    </sheetView>
  </sheetViews>
  <sheetFormatPr baseColWidth="10" defaultColWidth="16.33203125" defaultRowHeight="20" customHeight="1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0.71</v>
      </c>
      <c r="C3" s="16">
        <v>0.64</v>
      </c>
      <c r="D3" s="16">
        <v>0.67</v>
      </c>
      <c r="E3" s="29">
        <v>192</v>
      </c>
      <c r="F3" s="16" t="s">
        <v>174</v>
      </c>
      <c r="G3" s="23">
        <v>0.643050799086758</v>
      </c>
      <c r="H3" s="15"/>
      <c r="I3" s="35">
        <v>0</v>
      </c>
      <c r="J3" s="10">
        <v>0.68</v>
      </c>
      <c r="K3" s="16">
        <v>0.62</v>
      </c>
      <c r="L3" s="16">
        <v>0.65</v>
      </c>
      <c r="M3" s="29">
        <v>1076</v>
      </c>
      <c r="N3" s="16" t="s">
        <v>191</v>
      </c>
      <c r="O3" s="23">
        <v>0.63098902048932304</v>
      </c>
      <c r="P3" s="15"/>
      <c r="Q3" s="35">
        <v>0</v>
      </c>
      <c r="R3" s="10">
        <v>0.73</v>
      </c>
      <c r="S3" s="16">
        <v>0.55000000000000004</v>
      </c>
      <c r="T3" s="16">
        <v>0.63</v>
      </c>
      <c r="U3" s="29">
        <v>987</v>
      </c>
      <c r="V3" s="16" t="s">
        <v>209</v>
      </c>
      <c r="W3" s="23">
        <v>0.668909138256228</v>
      </c>
    </row>
    <row r="4" spans="1:23" ht="15" customHeight="1" x14ac:dyDescent="0.15">
      <c r="A4" s="36">
        <v>1</v>
      </c>
      <c r="B4" s="11">
        <v>0.57999999999999996</v>
      </c>
      <c r="C4" s="12">
        <v>0.65</v>
      </c>
      <c r="D4" s="12">
        <v>0.61</v>
      </c>
      <c r="E4" s="30">
        <v>146</v>
      </c>
      <c r="F4" s="12" t="s">
        <v>175</v>
      </c>
      <c r="G4" s="24"/>
      <c r="H4" s="15"/>
      <c r="I4" s="36">
        <v>1</v>
      </c>
      <c r="J4" s="11">
        <v>0.57999999999999996</v>
      </c>
      <c r="K4" s="12">
        <v>0.64</v>
      </c>
      <c r="L4" s="12">
        <v>0.61</v>
      </c>
      <c r="M4" s="30">
        <v>860</v>
      </c>
      <c r="N4" s="12" t="s">
        <v>192</v>
      </c>
      <c r="O4" s="24"/>
      <c r="P4" s="15"/>
      <c r="Q4" s="36">
        <v>1</v>
      </c>
      <c r="R4" s="11">
        <v>0.63</v>
      </c>
      <c r="S4" s="12">
        <v>0.79</v>
      </c>
      <c r="T4" s="12">
        <v>0.7</v>
      </c>
      <c r="U4" s="30">
        <v>961</v>
      </c>
      <c r="V4" s="12" t="s">
        <v>210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0.64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0.64</v>
      </c>
      <c r="C6" s="12">
        <v>0.64</v>
      </c>
      <c r="D6" s="12">
        <v>0.64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0.63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0.67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0.65</v>
      </c>
      <c r="C7" s="12">
        <v>0.64</v>
      </c>
      <c r="D7" s="12">
        <v>0.64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0.67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0.68</v>
      </c>
      <c r="C11" s="2">
        <v>0.73</v>
      </c>
      <c r="D11" s="2">
        <v>0.7</v>
      </c>
      <c r="E11" s="32">
        <v>192</v>
      </c>
      <c r="F11" s="19" t="s">
        <v>176</v>
      </c>
      <c r="G11" s="5">
        <v>0.63773544520547898</v>
      </c>
      <c r="H11" s="15"/>
      <c r="I11" s="35">
        <v>0</v>
      </c>
      <c r="J11" s="1">
        <v>0.68</v>
      </c>
      <c r="K11" s="2">
        <v>0.65</v>
      </c>
      <c r="L11" s="2">
        <v>0.67</v>
      </c>
      <c r="M11" s="32">
        <v>1076</v>
      </c>
      <c r="N11" s="19" t="s">
        <v>193</v>
      </c>
      <c r="O11" s="5">
        <v>0.63620861070286105</v>
      </c>
      <c r="P11" s="15"/>
      <c r="Q11" s="35">
        <v>0</v>
      </c>
      <c r="R11" s="1">
        <v>0.69</v>
      </c>
      <c r="S11" s="2">
        <v>0.57999999999999996</v>
      </c>
      <c r="T11" s="2">
        <v>0.63</v>
      </c>
      <c r="U11" s="32">
        <v>987</v>
      </c>
      <c r="V11" s="19" t="s">
        <v>211</v>
      </c>
      <c r="W11" s="5">
        <v>0.65817437298828496</v>
      </c>
    </row>
    <row r="12" spans="1:23" ht="15" customHeight="1" x14ac:dyDescent="0.15">
      <c r="A12" s="36">
        <v>1</v>
      </c>
      <c r="B12" s="3">
        <v>0.61</v>
      </c>
      <c r="C12" s="4">
        <v>0.54</v>
      </c>
      <c r="D12" s="4">
        <v>0.56999999999999995</v>
      </c>
      <c r="E12" s="33">
        <v>146</v>
      </c>
      <c r="F12" s="4" t="s">
        <v>177</v>
      </c>
      <c r="G12" s="26"/>
      <c r="H12" s="15"/>
      <c r="I12" s="36">
        <v>1</v>
      </c>
      <c r="J12" s="3">
        <v>0.59</v>
      </c>
      <c r="K12" s="4">
        <v>0.62</v>
      </c>
      <c r="L12" s="4">
        <v>0.6</v>
      </c>
      <c r="M12" s="33">
        <v>860</v>
      </c>
      <c r="N12" s="4" t="s">
        <v>194</v>
      </c>
      <c r="O12" s="26"/>
      <c r="P12" s="15"/>
      <c r="Q12" s="36">
        <v>1</v>
      </c>
      <c r="R12" s="3">
        <v>0.63</v>
      </c>
      <c r="S12" s="4">
        <v>0.74</v>
      </c>
      <c r="T12" s="4">
        <v>0.68</v>
      </c>
      <c r="U12" s="33">
        <v>961</v>
      </c>
      <c r="V12" s="4" t="s">
        <v>212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0.65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0.64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0.66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0.64</v>
      </c>
      <c r="C14" s="4">
        <v>0.64</v>
      </c>
      <c r="D14" s="4">
        <v>0.64</v>
      </c>
      <c r="E14" s="33">
        <v>338</v>
      </c>
      <c r="F14" s="4"/>
      <c r="G14" s="26"/>
      <c r="H14" s="15"/>
      <c r="I14" s="37" t="s">
        <v>97</v>
      </c>
      <c r="J14" s="3">
        <v>0.64</v>
      </c>
      <c r="K14" s="4">
        <v>0.64</v>
      </c>
      <c r="L14" s="4">
        <v>0.64</v>
      </c>
      <c r="M14" s="33">
        <v>1936</v>
      </c>
      <c r="N14" s="4"/>
      <c r="O14" s="26"/>
      <c r="P14" s="15"/>
      <c r="Q14" s="37" t="s">
        <v>97</v>
      </c>
      <c r="R14" s="3">
        <v>0.66</v>
      </c>
      <c r="S14" s="4">
        <v>0.66</v>
      </c>
      <c r="T14" s="4">
        <v>0.66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0.65</v>
      </c>
      <c r="C15" s="4">
        <v>0.65</v>
      </c>
      <c r="D15" s="4">
        <v>0.65</v>
      </c>
      <c r="E15" s="33">
        <v>338</v>
      </c>
      <c r="F15" s="4"/>
      <c r="G15" s="26"/>
      <c r="H15" s="15"/>
      <c r="I15" s="37" t="s">
        <v>98</v>
      </c>
      <c r="J15" s="3">
        <v>0.64</v>
      </c>
      <c r="K15" s="4">
        <v>0.64</v>
      </c>
      <c r="L15" s="4">
        <v>0.64</v>
      </c>
      <c r="M15" s="33">
        <v>1936</v>
      </c>
      <c r="N15" s="4"/>
      <c r="O15" s="26"/>
      <c r="P15" s="15"/>
      <c r="Q15" s="37" t="s">
        <v>98</v>
      </c>
      <c r="R15" s="3">
        <v>0.66</v>
      </c>
      <c r="S15" s="4">
        <v>0.66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</v>
      </c>
      <c r="C19" s="2">
        <v>0.86</v>
      </c>
      <c r="D19" s="2">
        <v>0.71</v>
      </c>
      <c r="E19" s="32">
        <v>192</v>
      </c>
      <c r="F19" s="2" t="s">
        <v>178</v>
      </c>
      <c r="G19" s="5">
        <v>0.54955051369862995</v>
      </c>
      <c r="H19" s="15"/>
      <c r="I19" s="35">
        <v>0</v>
      </c>
      <c r="J19" s="1">
        <v>0.67</v>
      </c>
      <c r="K19" s="2">
        <v>0.36</v>
      </c>
      <c r="L19" s="2">
        <v>0.47</v>
      </c>
      <c r="M19" s="32">
        <v>1076</v>
      </c>
      <c r="N19" s="2" t="s">
        <v>195</v>
      </c>
      <c r="O19" s="5">
        <v>0.57145975620299105</v>
      </c>
      <c r="P19" s="15"/>
      <c r="Q19" s="35">
        <v>0</v>
      </c>
      <c r="R19" s="1">
        <v>0.69</v>
      </c>
      <c r="S19" s="2">
        <v>0.09</v>
      </c>
      <c r="T19" s="2">
        <v>0.16</v>
      </c>
      <c r="U19" s="32">
        <v>987</v>
      </c>
      <c r="V19" s="2" t="s">
        <v>213</v>
      </c>
      <c r="W19" s="5">
        <v>0.52527393050341198</v>
      </c>
    </row>
    <row r="20" spans="1:23" ht="15" customHeight="1" x14ac:dyDescent="0.15">
      <c r="A20" s="36">
        <v>1</v>
      </c>
      <c r="B20" s="3">
        <v>0.56000000000000005</v>
      </c>
      <c r="C20" s="4">
        <v>0.24</v>
      </c>
      <c r="D20" s="4">
        <v>0.34</v>
      </c>
      <c r="E20" s="33">
        <v>146</v>
      </c>
      <c r="F20" s="4" t="s">
        <v>179</v>
      </c>
      <c r="G20" s="26"/>
      <c r="H20" s="15"/>
      <c r="I20" s="36">
        <v>1</v>
      </c>
      <c r="J20" s="3">
        <v>0.49</v>
      </c>
      <c r="K20" s="4">
        <v>0.78</v>
      </c>
      <c r="L20" s="4">
        <v>0.61</v>
      </c>
      <c r="M20" s="33">
        <v>860</v>
      </c>
      <c r="N20" s="4" t="s">
        <v>196</v>
      </c>
      <c r="O20" s="26"/>
      <c r="P20" s="15"/>
      <c r="Q20" s="36">
        <v>1</v>
      </c>
      <c r="R20" s="3">
        <v>0.51</v>
      </c>
      <c r="S20" s="4">
        <v>0.96</v>
      </c>
      <c r="T20" s="4">
        <v>0.66</v>
      </c>
      <c r="U20" s="33">
        <v>961</v>
      </c>
      <c r="V20" s="4" t="s">
        <v>214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0.59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0.55000000000000004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0.52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0.57999999999999996</v>
      </c>
      <c r="C22" s="4">
        <v>0.55000000000000004</v>
      </c>
      <c r="D22" s="4">
        <v>0.52</v>
      </c>
      <c r="E22" s="33">
        <v>338</v>
      </c>
      <c r="F22" s="4"/>
      <c r="G22" s="26"/>
      <c r="H22" s="15"/>
      <c r="I22" s="37" t="s">
        <v>97</v>
      </c>
      <c r="J22" s="3">
        <v>0.57999999999999996</v>
      </c>
      <c r="K22" s="4">
        <v>0.56999999999999995</v>
      </c>
      <c r="L22" s="4">
        <v>0.54</v>
      </c>
      <c r="M22" s="33">
        <v>1936</v>
      </c>
      <c r="N22" s="4"/>
      <c r="O22" s="26"/>
      <c r="P22" s="15"/>
      <c r="Q22" s="37" t="s">
        <v>97</v>
      </c>
      <c r="R22" s="3">
        <v>0.6</v>
      </c>
      <c r="S22" s="4">
        <v>0.53</v>
      </c>
      <c r="T22" s="4">
        <v>0.41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0.57999999999999996</v>
      </c>
      <c r="C23" s="4">
        <v>0.59</v>
      </c>
      <c r="D23" s="4">
        <v>0.55000000000000004</v>
      </c>
      <c r="E23" s="33">
        <v>338</v>
      </c>
      <c r="F23" s="4"/>
      <c r="G23" s="26"/>
      <c r="H23" s="15"/>
      <c r="I23" s="37" t="s">
        <v>98</v>
      </c>
      <c r="J23" s="3">
        <v>0.59</v>
      </c>
      <c r="K23" s="4">
        <v>0.55000000000000004</v>
      </c>
      <c r="L23" s="4">
        <v>0.53</v>
      </c>
      <c r="M23" s="33">
        <v>1936</v>
      </c>
      <c r="N23" s="4"/>
      <c r="O23" s="26"/>
      <c r="P23" s="15"/>
      <c r="Q23" s="37" t="s">
        <v>98</v>
      </c>
      <c r="R23" s="3">
        <v>0.6</v>
      </c>
      <c r="S23" s="4">
        <v>0.52</v>
      </c>
      <c r="T23" s="4">
        <v>0.41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0.61</v>
      </c>
      <c r="C27" s="2">
        <v>0.7</v>
      </c>
      <c r="D27" s="2">
        <v>0.65</v>
      </c>
      <c r="E27" s="32">
        <v>162</v>
      </c>
      <c r="F27" s="2" t="s">
        <v>180</v>
      </c>
      <c r="G27" s="5">
        <v>0.64162457912457904</v>
      </c>
      <c r="H27" s="15"/>
      <c r="I27" s="35">
        <v>0</v>
      </c>
      <c r="J27" s="1">
        <v>0.6</v>
      </c>
      <c r="K27" s="2">
        <v>0.65</v>
      </c>
      <c r="L27" s="2">
        <v>0.63</v>
      </c>
      <c r="M27" s="32">
        <v>934</v>
      </c>
      <c r="N27" s="2" t="s">
        <v>197</v>
      </c>
      <c r="O27" s="5">
        <v>0.62299597806528195</v>
      </c>
      <c r="P27" s="15"/>
      <c r="Q27" s="35">
        <v>0</v>
      </c>
      <c r="R27" s="1">
        <v>0.69</v>
      </c>
      <c r="S27" s="2">
        <v>0.55000000000000004</v>
      </c>
      <c r="T27" s="2">
        <v>0.61</v>
      </c>
      <c r="U27" s="32">
        <v>808</v>
      </c>
      <c r="V27" s="2" t="s">
        <v>215</v>
      </c>
      <c r="W27" s="5">
        <v>0.68553717213826604</v>
      </c>
    </row>
    <row r="28" spans="1:23" ht="15" customHeight="1" x14ac:dyDescent="0.15">
      <c r="A28" s="36">
        <v>1</v>
      </c>
      <c r="B28" s="3">
        <v>0.68</v>
      </c>
      <c r="C28" s="4">
        <v>0.57999999999999996</v>
      </c>
      <c r="D28" s="4">
        <v>0.63</v>
      </c>
      <c r="E28" s="33">
        <v>176</v>
      </c>
      <c r="F28" s="4" t="s">
        <v>48</v>
      </c>
      <c r="G28" s="26"/>
      <c r="H28" s="15"/>
      <c r="I28" s="36">
        <v>1</v>
      </c>
      <c r="J28" s="3">
        <v>0.65</v>
      </c>
      <c r="K28" s="4">
        <v>0.59</v>
      </c>
      <c r="L28" s="4">
        <v>0.62</v>
      </c>
      <c r="M28" s="33">
        <v>1002</v>
      </c>
      <c r="N28" s="4" t="s">
        <v>198</v>
      </c>
      <c r="O28" s="26"/>
      <c r="P28" s="15"/>
      <c r="Q28" s="36">
        <v>1</v>
      </c>
      <c r="R28" s="3">
        <v>0.72</v>
      </c>
      <c r="S28" s="4">
        <v>0.82</v>
      </c>
      <c r="T28" s="4">
        <v>0.77</v>
      </c>
      <c r="U28" s="33">
        <v>1140</v>
      </c>
      <c r="V28" s="4" t="s">
        <v>216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0.64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0.62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0.71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0.64</v>
      </c>
      <c r="C30" s="4">
        <v>0.64</v>
      </c>
      <c r="D30" s="4">
        <v>0.64</v>
      </c>
      <c r="E30" s="33">
        <v>338</v>
      </c>
      <c r="F30" s="4"/>
      <c r="G30" s="26"/>
      <c r="H30" s="15"/>
      <c r="I30" s="37" t="s">
        <v>97</v>
      </c>
      <c r="J30" s="3">
        <v>0.62</v>
      </c>
      <c r="K30" s="4">
        <v>0.62</v>
      </c>
      <c r="L30" s="4">
        <v>0.62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0.69</v>
      </c>
      <c r="T30" s="4">
        <v>0.69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0.64</v>
      </c>
      <c r="C31" s="4">
        <v>0.64</v>
      </c>
      <c r="D31" s="4">
        <v>0.64</v>
      </c>
      <c r="E31" s="33">
        <v>338</v>
      </c>
      <c r="F31" s="4"/>
      <c r="G31" s="26"/>
      <c r="H31" s="15"/>
      <c r="I31" s="37" t="s">
        <v>98</v>
      </c>
      <c r="J31" s="3">
        <v>0.62</v>
      </c>
      <c r="K31" s="4">
        <v>0.62</v>
      </c>
      <c r="L31" s="4">
        <v>0.62</v>
      </c>
      <c r="M31" s="33">
        <v>1936</v>
      </c>
      <c r="N31" s="4"/>
      <c r="O31" s="26"/>
      <c r="P31" s="15"/>
      <c r="Q31" s="37" t="s">
        <v>98</v>
      </c>
      <c r="R31" s="3">
        <v>0.71</v>
      </c>
      <c r="S31" s="4">
        <v>0.71</v>
      </c>
      <c r="T31" s="4">
        <v>0.7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0.59</v>
      </c>
      <c r="C35" s="2">
        <v>0.73</v>
      </c>
      <c r="D35" s="2">
        <v>0.65</v>
      </c>
      <c r="E35" s="32">
        <v>162</v>
      </c>
      <c r="F35" s="2" t="s">
        <v>181</v>
      </c>
      <c r="G35" s="5">
        <v>0.62864758698092005</v>
      </c>
      <c r="H35" s="15"/>
      <c r="I35" s="35">
        <v>0</v>
      </c>
      <c r="J35" s="1">
        <v>0.59</v>
      </c>
      <c r="K35" s="2">
        <v>0.67</v>
      </c>
      <c r="L35" s="2">
        <v>0.63</v>
      </c>
      <c r="M35" s="32">
        <v>934</v>
      </c>
      <c r="N35" s="2" t="s">
        <v>199</v>
      </c>
      <c r="O35" s="5">
        <v>0.61997525292028299</v>
      </c>
      <c r="P35" s="15"/>
      <c r="Q35" s="35">
        <v>0</v>
      </c>
      <c r="R35" s="1">
        <v>0.64</v>
      </c>
      <c r="S35" s="2">
        <v>0.57999999999999996</v>
      </c>
      <c r="T35" s="2">
        <v>0.61</v>
      </c>
      <c r="U35" s="32">
        <v>808</v>
      </c>
      <c r="V35" s="2" t="s">
        <v>217</v>
      </c>
      <c r="W35" s="5">
        <v>0.67476984540559304</v>
      </c>
    </row>
    <row r="36" spans="1:23" ht="15" customHeight="1" x14ac:dyDescent="0.15">
      <c r="A36" s="36">
        <v>1</v>
      </c>
      <c r="B36" s="3">
        <v>0.68</v>
      </c>
      <c r="C36" s="4">
        <v>0.52</v>
      </c>
      <c r="D36" s="4">
        <v>0.59</v>
      </c>
      <c r="E36" s="33">
        <v>176</v>
      </c>
      <c r="F36" s="4" t="s">
        <v>182</v>
      </c>
      <c r="G36" s="26"/>
      <c r="H36" s="15"/>
      <c r="I36" s="36">
        <v>1</v>
      </c>
      <c r="J36" s="3">
        <v>0.65</v>
      </c>
      <c r="K36" s="4">
        <v>0.56999999999999995</v>
      </c>
      <c r="L36" s="4">
        <v>0.61</v>
      </c>
      <c r="M36" s="33">
        <v>1002</v>
      </c>
      <c r="N36" s="4" t="s">
        <v>200</v>
      </c>
      <c r="O36" s="26"/>
      <c r="P36" s="15"/>
      <c r="Q36" s="36">
        <v>1</v>
      </c>
      <c r="R36" s="3">
        <v>0.72</v>
      </c>
      <c r="S36" s="4">
        <v>0.77</v>
      </c>
      <c r="T36" s="4">
        <v>0.75</v>
      </c>
      <c r="U36" s="33">
        <v>1140</v>
      </c>
      <c r="V36" s="4" t="s">
        <v>218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0.62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0.69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0.63</v>
      </c>
      <c r="C38" s="4">
        <v>0.63</v>
      </c>
      <c r="D38" s="4">
        <v>0.62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0.68</v>
      </c>
      <c r="S38" s="4">
        <v>0.67</v>
      </c>
      <c r="T38" s="4">
        <v>0.68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0.64</v>
      </c>
      <c r="C39" s="4">
        <v>0.62</v>
      </c>
      <c r="D39" s="4">
        <v>0.62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0.69</v>
      </c>
      <c r="S39" s="4">
        <v>0.69</v>
      </c>
      <c r="T39" s="4">
        <v>0.69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0.51</v>
      </c>
      <c r="C43" s="2">
        <v>0.69</v>
      </c>
      <c r="D43" s="2">
        <v>0.57999999999999996</v>
      </c>
      <c r="E43" s="32">
        <v>162</v>
      </c>
      <c r="F43" s="2" t="s">
        <v>183</v>
      </c>
      <c r="G43" s="5">
        <v>0.53601992143658805</v>
      </c>
      <c r="H43" s="15"/>
      <c r="I43" s="35">
        <v>0</v>
      </c>
      <c r="J43" s="1">
        <v>0.65</v>
      </c>
      <c r="K43" s="2">
        <v>0.21</v>
      </c>
      <c r="L43" s="2">
        <v>0.32</v>
      </c>
      <c r="M43" s="32">
        <v>934</v>
      </c>
      <c r="N43" s="2" t="s">
        <v>201</v>
      </c>
      <c r="O43" s="5">
        <v>0.55210350177589096</v>
      </c>
      <c r="P43" s="15"/>
      <c r="Q43" s="35">
        <v>0</v>
      </c>
      <c r="R43" s="1">
        <v>0.68</v>
      </c>
      <c r="S43" s="2">
        <v>0.28999999999999998</v>
      </c>
      <c r="T43" s="2">
        <v>0.41</v>
      </c>
      <c r="U43" s="32">
        <v>808</v>
      </c>
      <c r="V43" s="2" t="s">
        <v>219</v>
      </c>
      <c r="W43" s="5">
        <v>0.59841280180649603</v>
      </c>
    </row>
    <row r="44" spans="1:23" ht="15" customHeight="1" x14ac:dyDescent="0.15">
      <c r="A44" s="36">
        <v>1</v>
      </c>
      <c r="B44" s="3">
        <v>0.56999999999999995</v>
      </c>
      <c r="C44" s="4">
        <v>0.38</v>
      </c>
      <c r="D44" s="4">
        <v>0.46</v>
      </c>
      <c r="E44" s="33">
        <v>176</v>
      </c>
      <c r="F44" s="4" t="s">
        <v>184</v>
      </c>
      <c r="G44" s="26"/>
      <c r="H44" s="15"/>
      <c r="I44" s="36">
        <v>1</v>
      </c>
      <c r="J44" s="3">
        <v>0.55000000000000004</v>
      </c>
      <c r="K44" s="4">
        <v>0.89</v>
      </c>
      <c r="L44" s="4">
        <v>0.68</v>
      </c>
      <c r="M44" s="33">
        <v>1002</v>
      </c>
      <c r="N44" s="4" t="s">
        <v>202</v>
      </c>
      <c r="O44" s="26"/>
      <c r="P44" s="15"/>
      <c r="Q44" s="36">
        <v>1</v>
      </c>
      <c r="R44" s="3">
        <v>0.64</v>
      </c>
      <c r="S44" s="4">
        <v>0.9</v>
      </c>
      <c r="T44" s="4">
        <v>0.75</v>
      </c>
      <c r="U44" s="33">
        <v>1140</v>
      </c>
      <c r="V44" s="4" t="s">
        <v>220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0.53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0.56000000000000005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0.65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0.54</v>
      </c>
      <c r="C46" s="4">
        <v>0.54</v>
      </c>
      <c r="D46" s="4">
        <v>0.52</v>
      </c>
      <c r="E46" s="33">
        <v>338</v>
      </c>
      <c r="F46" s="4"/>
      <c r="G46" s="26"/>
      <c r="H46" s="15"/>
      <c r="I46" s="37" t="s">
        <v>97</v>
      </c>
      <c r="J46" s="3">
        <v>0.6</v>
      </c>
      <c r="K46" s="4">
        <v>0.55000000000000004</v>
      </c>
      <c r="L46" s="4">
        <v>0.5</v>
      </c>
      <c r="M46" s="33">
        <v>1936</v>
      </c>
      <c r="N46" s="4"/>
      <c r="O46" s="26"/>
      <c r="P46" s="15"/>
      <c r="Q46" s="37" t="s">
        <v>97</v>
      </c>
      <c r="R46" s="3">
        <v>0.66</v>
      </c>
      <c r="S46" s="4">
        <v>0.6</v>
      </c>
      <c r="T46" s="4">
        <v>0.57999999999999996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0.54</v>
      </c>
      <c r="C47" s="4">
        <v>0.53</v>
      </c>
      <c r="D47" s="4">
        <v>0.52</v>
      </c>
      <c r="E47" s="33">
        <v>338</v>
      </c>
      <c r="F47" s="4"/>
      <c r="G47" s="26"/>
      <c r="H47" s="15"/>
      <c r="I47" s="37" t="s">
        <v>98</v>
      </c>
      <c r="J47" s="3">
        <v>0.6</v>
      </c>
      <c r="K47" s="4">
        <v>0.56000000000000005</v>
      </c>
      <c r="L47" s="4">
        <v>0.51</v>
      </c>
      <c r="M47" s="33">
        <v>1936</v>
      </c>
      <c r="N47" s="4"/>
      <c r="O47" s="26"/>
      <c r="P47" s="15"/>
      <c r="Q47" s="37" t="s">
        <v>98</v>
      </c>
      <c r="R47" s="3">
        <v>0.66</v>
      </c>
      <c r="S47" s="4">
        <v>0.65</v>
      </c>
      <c r="T47" s="4">
        <v>0.61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0.66</v>
      </c>
      <c r="C51" s="2">
        <v>0.45</v>
      </c>
      <c r="D51" s="2">
        <v>0.53</v>
      </c>
      <c r="E51" s="32">
        <v>163</v>
      </c>
      <c r="F51" s="2" t="s">
        <v>185</v>
      </c>
      <c r="G51" s="5">
        <v>0.61821209465381199</v>
      </c>
      <c r="H51" s="15"/>
      <c r="I51" s="35">
        <v>0</v>
      </c>
      <c r="J51" s="1">
        <v>0.69</v>
      </c>
      <c r="K51" s="2">
        <v>0.24</v>
      </c>
      <c r="L51" s="2">
        <v>0.36</v>
      </c>
      <c r="M51" s="32">
        <v>915</v>
      </c>
      <c r="N51" s="2" t="s">
        <v>203</v>
      </c>
      <c r="O51" s="5">
        <v>0.57075726679618699</v>
      </c>
      <c r="P51" s="15"/>
      <c r="Q51" s="35">
        <v>0</v>
      </c>
      <c r="R51" s="1">
        <v>0.68</v>
      </c>
      <c r="S51" s="2">
        <v>0.32</v>
      </c>
      <c r="T51" s="2">
        <v>0.44</v>
      </c>
      <c r="U51" s="32">
        <v>881</v>
      </c>
      <c r="V51" s="2" t="s">
        <v>221</v>
      </c>
      <c r="W51" s="5">
        <v>0.59895513639501796</v>
      </c>
    </row>
    <row r="52" spans="1:23" ht="15" customHeight="1" x14ac:dyDescent="0.15">
      <c r="A52" s="36">
        <v>1</v>
      </c>
      <c r="B52" s="3">
        <v>0.61</v>
      </c>
      <c r="C52" s="4">
        <v>0.79</v>
      </c>
      <c r="D52" s="4">
        <v>0.68</v>
      </c>
      <c r="E52" s="33">
        <v>175</v>
      </c>
      <c r="F52" s="4" t="s">
        <v>186</v>
      </c>
      <c r="G52" s="26"/>
      <c r="H52" s="15"/>
      <c r="I52" s="36">
        <v>1</v>
      </c>
      <c r="J52" s="3">
        <v>0.56999999999999995</v>
      </c>
      <c r="K52" s="4">
        <v>0.9</v>
      </c>
      <c r="L52" s="4">
        <v>0.7</v>
      </c>
      <c r="M52" s="33">
        <v>1021</v>
      </c>
      <c r="N52" s="4" t="s">
        <v>204</v>
      </c>
      <c r="O52" s="26"/>
      <c r="P52" s="15"/>
      <c r="Q52" s="36">
        <v>1</v>
      </c>
      <c r="R52" s="3">
        <v>0.61</v>
      </c>
      <c r="S52" s="4">
        <v>0.87</v>
      </c>
      <c r="T52" s="4">
        <v>0.72</v>
      </c>
      <c r="U52" s="33">
        <v>1067</v>
      </c>
      <c r="V52" s="4" t="s">
        <v>222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0.62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0.63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0.63</v>
      </c>
      <c r="C54" s="4">
        <v>0.62</v>
      </c>
      <c r="D54" s="4">
        <v>0.61</v>
      </c>
      <c r="E54" s="33">
        <v>338</v>
      </c>
      <c r="F54" s="4"/>
      <c r="G54" s="26"/>
      <c r="H54" s="15"/>
      <c r="I54" s="37" t="s">
        <v>97</v>
      </c>
      <c r="J54" s="3">
        <v>0.63</v>
      </c>
      <c r="K54" s="4">
        <v>0.56999999999999995</v>
      </c>
      <c r="L54" s="4">
        <v>0.53</v>
      </c>
      <c r="M54" s="33">
        <v>1936</v>
      </c>
      <c r="N54" s="4"/>
      <c r="O54" s="26"/>
      <c r="P54" s="15"/>
      <c r="Q54" s="37" t="s">
        <v>97</v>
      </c>
      <c r="R54" s="3">
        <v>0.65</v>
      </c>
      <c r="S54" s="4">
        <v>0.6</v>
      </c>
      <c r="T54" s="4">
        <v>0.57999999999999996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0.63</v>
      </c>
      <c r="C55" s="4">
        <v>0.62</v>
      </c>
      <c r="D55" s="4">
        <v>0.61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0.59</v>
      </c>
      <c r="L55" s="4">
        <v>0.54</v>
      </c>
      <c r="M55" s="33">
        <v>1936</v>
      </c>
      <c r="N55" s="4"/>
      <c r="O55" s="26"/>
      <c r="P55" s="15"/>
      <c r="Q55" s="37" t="s">
        <v>98</v>
      </c>
      <c r="R55" s="3">
        <v>0.64</v>
      </c>
      <c r="S55" s="4">
        <v>0.63</v>
      </c>
      <c r="T55" s="4">
        <v>0.59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0.59</v>
      </c>
      <c r="C59" s="2">
        <v>0.52</v>
      </c>
      <c r="D59" s="2">
        <v>0.55000000000000004</v>
      </c>
      <c r="E59" s="32">
        <v>163</v>
      </c>
      <c r="F59" s="2" t="s">
        <v>187</v>
      </c>
      <c r="G59" s="5">
        <v>0.59195442594215597</v>
      </c>
      <c r="H59" s="15"/>
      <c r="I59" s="35">
        <v>0</v>
      </c>
      <c r="J59" s="1">
        <v>0.6</v>
      </c>
      <c r="K59" s="2">
        <v>0.4</v>
      </c>
      <c r="L59" s="2">
        <v>0.48</v>
      </c>
      <c r="M59" s="32">
        <v>915</v>
      </c>
      <c r="N59" s="2" t="s">
        <v>205</v>
      </c>
      <c r="O59" s="5">
        <v>0.580622768848712</v>
      </c>
      <c r="P59" s="15"/>
      <c r="Q59" s="35">
        <v>0</v>
      </c>
      <c r="R59" s="1">
        <v>0.63</v>
      </c>
      <c r="S59" s="2">
        <v>0.38</v>
      </c>
      <c r="T59" s="2">
        <v>0.48</v>
      </c>
      <c r="U59" s="32">
        <v>881</v>
      </c>
      <c r="V59" s="2" t="s">
        <v>223</v>
      </c>
      <c r="W59" s="5">
        <v>0.59978330409658398</v>
      </c>
    </row>
    <row r="60" spans="1:23" ht="15" customHeight="1" x14ac:dyDescent="0.15">
      <c r="A60" s="36">
        <v>1</v>
      </c>
      <c r="B60" s="3">
        <v>0.6</v>
      </c>
      <c r="C60" s="4">
        <v>0.67</v>
      </c>
      <c r="D60" s="4">
        <v>0.63</v>
      </c>
      <c r="E60" s="33">
        <v>175</v>
      </c>
      <c r="F60" s="4" t="s">
        <v>188</v>
      </c>
      <c r="G60" s="26"/>
      <c r="H60" s="15"/>
      <c r="I60" s="36">
        <v>1</v>
      </c>
      <c r="J60" s="3">
        <v>0.59</v>
      </c>
      <c r="K60" s="4">
        <v>0.76</v>
      </c>
      <c r="L60" s="4">
        <v>0.66</v>
      </c>
      <c r="M60" s="33">
        <v>1021</v>
      </c>
      <c r="N60" s="4" t="s">
        <v>206</v>
      </c>
      <c r="O60" s="26"/>
      <c r="P60" s="15"/>
      <c r="Q60" s="36">
        <v>1</v>
      </c>
      <c r="R60" s="3">
        <v>0.62</v>
      </c>
      <c r="S60" s="4">
        <v>0.82</v>
      </c>
      <c r="T60" s="4">
        <v>0.7</v>
      </c>
      <c r="U60" s="33">
        <v>1067</v>
      </c>
      <c r="V60" s="4" t="s">
        <v>224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0.59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0.59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0.62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0.59</v>
      </c>
      <c r="C62" s="4">
        <v>0.59</v>
      </c>
      <c r="D62" s="4">
        <v>0.59</v>
      </c>
      <c r="E62" s="33">
        <v>338</v>
      </c>
      <c r="F62" s="4"/>
      <c r="G62" s="26"/>
      <c r="H62" s="15"/>
      <c r="I62" s="37" t="s">
        <v>97</v>
      </c>
      <c r="J62" s="3">
        <v>0.59</v>
      </c>
      <c r="K62" s="4">
        <v>0.57999999999999996</v>
      </c>
      <c r="L62" s="4">
        <v>0.56999999999999995</v>
      </c>
      <c r="M62" s="33">
        <v>1936</v>
      </c>
      <c r="N62" s="4"/>
      <c r="O62" s="26"/>
      <c r="P62" s="15"/>
      <c r="Q62" s="37" t="s">
        <v>97</v>
      </c>
      <c r="R62" s="3">
        <v>0.62</v>
      </c>
      <c r="S62" s="4">
        <v>0.6</v>
      </c>
      <c r="T62" s="4">
        <v>0.59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0.59</v>
      </c>
      <c r="C63" s="4">
        <v>0.59</v>
      </c>
      <c r="D63" s="4">
        <v>0.59</v>
      </c>
      <c r="E63" s="33">
        <v>338</v>
      </c>
      <c r="F63" s="4"/>
      <c r="G63" s="26"/>
      <c r="H63" s="15"/>
      <c r="I63" s="37" t="s">
        <v>98</v>
      </c>
      <c r="J63" s="3">
        <v>0.59</v>
      </c>
      <c r="K63" s="4">
        <v>0.59</v>
      </c>
      <c r="L63" s="4">
        <v>0.57999999999999996</v>
      </c>
      <c r="M63" s="33">
        <v>1936</v>
      </c>
      <c r="N63" s="4"/>
      <c r="O63" s="26"/>
      <c r="P63" s="15"/>
      <c r="Q63" s="37" t="s">
        <v>98</v>
      </c>
      <c r="R63" s="3">
        <v>0.62</v>
      </c>
      <c r="S63" s="4">
        <v>0.62</v>
      </c>
      <c r="T63" s="4">
        <v>0.6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0.51</v>
      </c>
      <c r="C67" s="2">
        <v>0.49</v>
      </c>
      <c r="D67" s="2">
        <v>0.5</v>
      </c>
      <c r="E67" s="32">
        <v>163</v>
      </c>
      <c r="F67" s="2" t="s">
        <v>189</v>
      </c>
      <c r="G67" s="5">
        <v>0.52825591586327703</v>
      </c>
      <c r="H67" s="15"/>
      <c r="I67" s="35">
        <v>0</v>
      </c>
      <c r="J67" s="1">
        <v>0.51</v>
      </c>
      <c r="K67" s="2">
        <v>0.86</v>
      </c>
      <c r="L67" s="2">
        <v>0.64</v>
      </c>
      <c r="M67" s="32">
        <v>915</v>
      </c>
      <c r="N67" s="2" t="s">
        <v>207</v>
      </c>
      <c r="O67" s="5">
        <v>0.55596837986973002</v>
      </c>
      <c r="P67" s="15"/>
      <c r="Q67" s="35">
        <v>0</v>
      </c>
      <c r="R67" s="1">
        <v>0.61</v>
      </c>
      <c r="S67" s="2">
        <v>0.33</v>
      </c>
      <c r="T67" s="2">
        <v>0.43</v>
      </c>
      <c r="U67" s="32">
        <v>881</v>
      </c>
      <c r="V67" s="2" t="s">
        <v>225</v>
      </c>
      <c r="W67" s="5">
        <v>0.57675896543397098</v>
      </c>
    </row>
    <row r="68" spans="1:23" ht="15" customHeight="1" x14ac:dyDescent="0.15">
      <c r="A68" s="36">
        <v>1</v>
      </c>
      <c r="B68" s="3">
        <v>0.54</v>
      </c>
      <c r="C68" s="4">
        <v>0.56999999999999995</v>
      </c>
      <c r="D68" s="4">
        <v>0.55000000000000004</v>
      </c>
      <c r="E68" s="33">
        <v>175</v>
      </c>
      <c r="F68" s="4" t="s">
        <v>190</v>
      </c>
      <c r="G68" s="26"/>
      <c r="H68" s="15"/>
      <c r="I68" s="36">
        <v>1</v>
      </c>
      <c r="J68" s="3">
        <v>0.67</v>
      </c>
      <c r="K68" s="4">
        <v>0.25</v>
      </c>
      <c r="L68" s="4">
        <v>0.36</v>
      </c>
      <c r="M68" s="33">
        <v>1021</v>
      </c>
      <c r="N68" s="4" t="s">
        <v>208</v>
      </c>
      <c r="O68" s="26"/>
      <c r="P68" s="15"/>
      <c r="Q68" s="36">
        <v>1</v>
      </c>
      <c r="R68" s="3">
        <v>0.6</v>
      </c>
      <c r="S68" s="4">
        <v>0.83</v>
      </c>
      <c r="T68" s="4">
        <v>0.69</v>
      </c>
      <c r="U68" s="33">
        <v>1067</v>
      </c>
      <c r="V68" s="4" t="s">
        <v>226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0.53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0.54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0.6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0.53</v>
      </c>
      <c r="C70" s="4">
        <v>0.53</v>
      </c>
      <c r="D70" s="4">
        <v>0.53</v>
      </c>
      <c r="E70" s="33">
        <v>338</v>
      </c>
      <c r="F70" s="4"/>
      <c r="G70" s="26"/>
      <c r="H70" s="15"/>
      <c r="I70" s="37" t="s">
        <v>97</v>
      </c>
      <c r="J70" s="3">
        <v>0.59</v>
      </c>
      <c r="K70" s="4">
        <v>0.56000000000000005</v>
      </c>
      <c r="L70" s="4">
        <v>0.5</v>
      </c>
      <c r="M70" s="33">
        <v>1936</v>
      </c>
      <c r="N70" s="4"/>
      <c r="O70" s="26"/>
      <c r="P70" s="15"/>
      <c r="Q70" s="37" t="s">
        <v>97</v>
      </c>
      <c r="R70" s="3">
        <v>0.6</v>
      </c>
      <c r="S70" s="4">
        <v>0.57999999999999996</v>
      </c>
      <c r="T70" s="4">
        <v>0.56000000000000005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0.53</v>
      </c>
      <c r="C71" s="4">
        <v>0.53</v>
      </c>
      <c r="D71" s="4">
        <v>0.53</v>
      </c>
      <c r="E71" s="33">
        <v>338</v>
      </c>
      <c r="F71" s="4"/>
      <c r="G71" s="26"/>
      <c r="H71" s="20"/>
      <c r="I71" s="37" t="s">
        <v>98</v>
      </c>
      <c r="J71" s="3">
        <v>0.59</v>
      </c>
      <c r="K71" s="4">
        <v>0.54</v>
      </c>
      <c r="L71" s="4">
        <v>0.49</v>
      </c>
      <c r="M71" s="33">
        <v>1936</v>
      </c>
      <c r="N71" s="4"/>
      <c r="O71" s="26"/>
      <c r="P71" s="20"/>
      <c r="Q71" s="37" t="s">
        <v>98</v>
      </c>
      <c r="R71" s="3">
        <v>0.6</v>
      </c>
      <c r="S71" s="4">
        <v>0.6</v>
      </c>
      <c r="T71" s="4">
        <v>0.56999999999999995</v>
      </c>
      <c r="U71" s="33">
        <v>1948</v>
      </c>
      <c r="V71" s="4"/>
      <c r="W71" s="26"/>
    </row>
  </sheetData>
  <mergeCells count="27">
    <mergeCell ref="A49:G49"/>
    <mergeCell ref="I49:O49"/>
    <mergeCell ref="I65:O65"/>
    <mergeCell ref="Q65:W65"/>
    <mergeCell ref="Q49:W49"/>
    <mergeCell ref="A57:G57"/>
    <mergeCell ref="I57:O57"/>
    <mergeCell ref="Q57:W57"/>
    <mergeCell ref="A65:G65"/>
    <mergeCell ref="A33:G33"/>
    <mergeCell ref="I33:O33"/>
    <mergeCell ref="Q33:W33"/>
    <mergeCell ref="A41:G41"/>
    <mergeCell ref="I41:O41"/>
    <mergeCell ref="Q41:W41"/>
    <mergeCell ref="A17:G17"/>
    <mergeCell ref="I17:O17"/>
    <mergeCell ref="Q17:W17"/>
    <mergeCell ref="A25:G25"/>
    <mergeCell ref="I25:O25"/>
    <mergeCell ref="Q25:W25"/>
    <mergeCell ref="A1:G1"/>
    <mergeCell ref="I1:O1"/>
    <mergeCell ref="Q1:W1"/>
    <mergeCell ref="A9:G9"/>
    <mergeCell ref="I9:O9"/>
    <mergeCell ref="Q9:W9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W71"/>
  <sheetViews>
    <sheetView showGridLines="0" topLeftCell="O42" workbookViewId="0">
      <selection activeCell="T53" sqref="T53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0.69</v>
      </c>
      <c r="C3" s="16">
        <v>0.69</v>
      </c>
      <c r="D3" s="16">
        <v>0.69</v>
      </c>
      <c r="E3" s="29">
        <v>192</v>
      </c>
      <c r="F3" s="16" t="s">
        <v>227</v>
      </c>
      <c r="G3" s="23">
        <v>0.64087471461187195</v>
      </c>
      <c r="H3" s="15"/>
      <c r="I3" s="35">
        <v>0</v>
      </c>
      <c r="J3" s="10">
        <v>0.68</v>
      </c>
      <c r="K3" s="16">
        <v>0.63</v>
      </c>
      <c r="L3" s="16">
        <v>0.66</v>
      </c>
      <c r="M3" s="29">
        <v>1075</v>
      </c>
      <c r="N3" s="16" t="s">
        <v>242</v>
      </c>
      <c r="O3" s="23">
        <v>0.63335224049914896</v>
      </c>
      <c r="P3" s="15"/>
      <c r="Q3" s="35">
        <v>0</v>
      </c>
      <c r="R3" s="10">
        <v>0.74</v>
      </c>
      <c r="S3" s="16">
        <v>0.54</v>
      </c>
      <c r="T3" s="16">
        <v>0.63</v>
      </c>
      <c r="U3" s="29">
        <v>987</v>
      </c>
      <c r="V3" s="16" t="s">
        <v>258</v>
      </c>
      <c r="W3" s="23">
        <v>0.67374252377683996</v>
      </c>
    </row>
    <row r="4" spans="1:23" ht="15" customHeight="1" x14ac:dyDescent="0.15">
      <c r="A4" s="36">
        <v>1</v>
      </c>
      <c r="B4" s="11">
        <v>0.59</v>
      </c>
      <c r="C4" s="12">
        <v>0.59</v>
      </c>
      <c r="D4" s="12">
        <v>0.59</v>
      </c>
      <c r="E4" s="30">
        <v>146</v>
      </c>
      <c r="F4" s="12" t="s">
        <v>151</v>
      </c>
      <c r="G4" s="24"/>
      <c r="H4" s="15"/>
      <c r="I4" s="36">
        <v>1</v>
      </c>
      <c r="J4" s="11">
        <v>0.57999999999999996</v>
      </c>
      <c r="K4" s="12">
        <v>0.63</v>
      </c>
      <c r="L4" s="12">
        <v>0.61</v>
      </c>
      <c r="M4" s="30">
        <v>861</v>
      </c>
      <c r="N4" s="12" t="s">
        <v>243</v>
      </c>
      <c r="O4" s="24"/>
      <c r="P4" s="15"/>
      <c r="Q4" s="36">
        <v>1</v>
      </c>
      <c r="R4" s="11">
        <v>0.63</v>
      </c>
      <c r="S4" s="12">
        <v>0.81</v>
      </c>
      <c r="T4" s="12">
        <v>0.71</v>
      </c>
      <c r="U4" s="30">
        <v>961</v>
      </c>
      <c r="V4" s="12" t="s">
        <v>259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0.65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0.64</v>
      </c>
      <c r="C6" s="12">
        <v>0.64</v>
      </c>
      <c r="D6" s="12">
        <v>0.64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0.63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0.69</v>
      </c>
      <c r="S6" s="12">
        <v>0.67</v>
      </c>
      <c r="T6" s="12">
        <v>0.67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0.65</v>
      </c>
      <c r="C7" s="12">
        <v>0.65</v>
      </c>
      <c r="D7" s="12">
        <v>0.65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0.69</v>
      </c>
      <c r="S7" s="12">
        <v>0.67</v>
      </c>
      <c r="T7" s="12">
        <v>0.67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0.64</v>
      </c>
      <c r="C11" s="2">
        <v>0.73</v>
      </c>
      <c r="D11" s="2">
        <v>0.68</v>
      </c>
      <c r="E11" s="32">
        <v>192</v>
      </c>
      <c r="F11" s="19" t="s">
        <v>228</v>
      </c>
      <c r="G11" s="5">
        <v>0.59061073059360703</v>
      </c>
      <c r="H11" s="15"/>
      <c r="I11" s="35">
        <v>0</v>
      </c>
      <c r="J11" s="1">
        <v>0.67</v>
      </c>
      <c r="K11" s="2">
        <v>0.67</v>
      </c>
      <c r="L11" s="2">
        <v>0.67</v>
      </c>
      <c r="M11" s="32">
        <v>1075</v>
      </c>
      <c r="N11" s="19" t="s">
        <v>102</v>
      </c>
      <c r="O11" s="5">
        <v>0.63291143343327105</v>
      </c>
      <c r="P11" s="15"/>
      <c r="Q11" s="35">
        <v>0</v>
      </c>
      <c r="R11" s="1">
        <v>0.69</v>
      </c>
      <c r="S11" s="2">
        <v>0.56999999999999995</v>
      </c>
      <c r="T11" s="2">
        <v>0.62</v>
      </c>
      <c r="U11" s="32">
        <v>987</v>
      </c>
      <c r="V11" s="19" t="s">
        <v>260</v>
      </c>
      <c r="W11" s="5">
        <v>0.65413539383473096</v>
      </c>
    </row>
    <row r="12" spans="1:23" ht="15" customHeight="1" x14ac:dyDescent="0.15">
      <c r="A12" s="36">
        <v>1</v>
      </c>
      <c r="B12" s="3">
        <v>0.56000000000000005</v>
      </c>
      <c r="C12" s="4">
        <v>0.45</v>
      </c>
      <c r="D12" s="4">
        <v>0.5</v>
      </c>
      <c r="E12" s="33">
        <v>146</v>
      </c>
      <c r="F12" s="4" t="s">
        <v>119</v>
      </c>
      <c r="G12" s="26"/>
      <c r="H12" s="15"/>
      <c r="I12" s="36">
        <v>1</v>
      </c>
      <c r="J12" s="3">
        <v>0.59</v>
      </c>
      <c r="K12" s="4">
        <v>0.59</v>
      </c>
      <c r="L12" s="4">
        <v>0.59</v>
      </c>
      <c r="M12" s="33">
        <v>861</v>
      </c>
      <c r="N12" s="4" t="s">
        <v>244</v>
      </c>
      <c r="O12" s="26"/>
      <c r="P12" s="15"/>
      <c r="Q12" s="36">
        <v>1</v>
      </c>
      <c r="R12" s="3">
        <v>0.63</v>
      </c>
      <c r="S12" s="4">
        <v>0.74</v>
      </c>
      <c r="T12" s="4">
        <v>0.68</v>
      </c>
      <c r="U12" s="33">
        <v>961</v>
      </c>
      <c r="V12" s="4" t="s">
        <v>261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0.61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0.64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0.65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</v>
      </c>
      <c r="C14" s="4">
        <v>0.59</v>
      </c>
      <c r="D14" s="4">
        <v>0.59</v>
      </c>
      <c r="E14" s="33">
        <v>338</v>
      </c>
      <c r="F14" s="4"/>
      <c r="G14" s="26"/>
      <c r="H14" s="15"/>
      <c r="I14" s="37" t="s">
        <v>97</v>
      </c>
      <c r="J14" s="3">
        <v>0.63</v>
      </c>
      <c r="K14" s="4">
        <v>0.63</v>
      </c>
      <c r="L14" s="4">
        <v>0.63</v>
      </c>
      <c r="M14" s="33">
        <v>1936</v>
      </c>
      <c r="N14" s="4"/>
      <c r="O14" s="26"/>
      <c r="P14" s="15"/>
      <c r="Q14" s="37" t="s">
        <v>97</v>
      </c>
      <c r="R14" s="3">
        <v>0.66</v>
      </c>
      <c r="S14" s="4">
        <v>0.65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</v>
      </c>
      <c r="C15" s="4">
        <v>0.61</v>
      </c>
      <c r="D15" s="4">
        <v>0.6</v>
      </c>
      <c r="E15" s="33">
        <v>338</v>
      </c>
      <c r="F15" s="4"/>
      <c r="G15" s="26"/>
      <c r="H15" s="15"/>
      <c r="I15" s="37" t="s">
        <v>98</v>
      </c>
      <c r="J15" s="3">
        <v>0.64</v>
      </c>
      <c r="K15" s="4">
        <v>0.64</v>
      </c>
      <c r="L15" s="4">
        <v>0.64</v>
      </c>
      <c r="M15" s="33">
        <v>1936</v>
      </c>
      <c r="N15" s="4"/>
      <c r="O15" s="26"/>
      <c r="P15" s="15"/>
      <c r="Q15" s="37" t="s">
        <v>98</v>
      </c>
      <c r="R15" s="3">
        <v>0.66</v>
      </c>
      <c r="S15" s="4">
        <v>0.65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0.61</v>
      </c>
      <c r="C19" s="2">
        <v>0.55000000000000004</v>
      </c>
      <c r="D19" s="2">
        <v>0.57999999999999996</v>
      </c>
      <c r="E19" s="32">
        <v>192</v>
      </c>
      <c r="F19" s="2" t="s">
        <v>229</v>
      </c>
      <c r="G19" s="5">
        <v>0.54056078767123195</v>
      </c>
      <c r="H19" s="15"/>
      <c r="I19" s="35">
        <v>0</v>
      </c>
      <c r="J19" s="1">
        <v>0.63</v>
      </c>
      <c r="K19" s="2">
        <v>0.57999999999999996</v>
      </c>
      <c r="L19" s="2">
        <v>0.6</v>
      </c>
      <c r="M19" s="32">
        <v>1075</v>
      </c>
      <c r="N19" s="2" t="s">
        <v>245</v>
      </c>
      <c r="O19" s="5">
        <v>0.57768900413256596</v>
      </c>
      <c r="P19" s="15"/>
      <c r="Q19" s="35">
        <v>0</v>
      </c>
      <c r="R19" s="1">
        <v>0.59</v>
      </c>
      <c r="S19" s="2">
        <v>0.63</v>
      </c>
      <c r="T19" s="2">
        <v>0.61</v>
      </c>
      <c r="U19" s="32">
        <v>987</v>
      </c>
      <c r="V19" s="2" t="s">
        <v>262</v>
      </c>
      <c r="W19" s="5">
        <v>0.59135725935601902</v>
      </c>
    </row>
    <row r="20" spans="1:23" ht="15" customHeight="1" x14ac:dyDescent="0.15">
      <c r="A20" s="36">
        <v>1</v>
      </c>
      <c r="B20" s="3">
        <v>0.47</v>
      </c>
      <c r="C20" s="4">
        <v>0.53</v>
      </c>
      <c r="D20" s="4">
        <v>0.5</v>
      </c>
      <c r="E20" s="33">
        <v>146</v>
      </c>
      <c r="F20" s="4" t="s">
        <v>230</v>
      </c>
      <c r="G20" s="26"/>
      <c r="H20" s="15"/>
      <c r="I20" s="36">
        <v>1</v>
      </c>
      <c r="J20" s="3">
        <v>0.52</v>
      </c>
      <c r="K20" s="4">
        <v>0.56999999999999995</v>
      </c>
      <c r="L20" s="4">
        <v>0.55000000000000004</v>
      </c>
      <c r="M20" s="33">
        <v>861</v>
      </c>
      <c r="N20" s="4" t="s">
        <v>246</v>
      </c>
      <c r="O20" s="26"/>
      <c r="P20" s="15"/>
      <c r="Q20" s="36">
        <v>1</v>
      </c>
      <c r="R20" s="3">
        <v>0.59</v>
      </c>
      <c r="S20" s="4">
        <v>0.55000000000000004</v>
      </c>
      <c r="T20" s="4">
        <v>0.56999999999999995</v>
      </c>
      <c r="U20" s="33">
        <v>961</v>
      </c>
      <c r="V20" s="4" t="s">
        <v>263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0.54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0.57999999999999996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0.59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0.54</v>
      </c>
      <c r="C22" s="4">
        <v>0.54</v>
      </c>
      <c r="D22" s="4">
        <v>0.54</v>
      </c>
      <c r="E22" s="33">
        <v>338</v>
      </c>
      <c r="F22" s="4"/>
      <c r="G22" s="26"/>
      <c r="H22" s="15"/>
      <c r="I22" s="37" t="s">
        <v>97</v>
      </c>
      <c r="J22" s="3">
        <v>0.57999999999999996</v>
      </c>
      <c r="K22" s="4">
        <v>0.57999999999999996</v>
      </c>
      <c r="L22" s="4">
        <v>0.57999999999999996</v>
      </c>
      <c r="M22" s="33">
        <v>1936</v>
      </c>
      <c r="N22" s="4"/>
      <c r="O22" s="26"/>
      <c r="P22" s="15"/>
      <c r="Q22" s="37" t="s">
        <v>97</v>
      </c>
      <c r="R22" s="3">
        <v>0.59</v>
      </c>
      <c r="S22" s="4">
        <v>0.59</v>
      </c>
      <c r="T22" s="4">
        <v>0.59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0.55000000000000004</v>
      </c>
      <c r="C23" s="4">
        <v>0.54</v>
      </c>
      <c r="D23" s="4">
        <v>0.54</v>
      </c>
      <c r="E23" s="33">
        <v>338</v>
      </c>
      <c r="F23" s="4"/>
      <c r="G23" s="26"/>
      <c r="H23" s="15"/>
      <c r="I23" s="37" t="s">
        <v>98</v>
      </c>
      <c r="J23" s="3">
        <v>0.57999999999999996</v>
      </c>
      <c r="K23" s="4">
        <v>0.57999999999999996</v>
      </c>
      <c r="L23" s="4">
        <v>0.57999999999999996</v>
      </c>
      <c r="M23" s="33">
        <v>1936</v>
      </c>
      <c r="N23" s="4"/>
      <c r="O23" s="26"/>
      <c r="P23" s="15"/>
      <c r="Q23" s="37" t="s">
        <v>98</v>
      </c>
      <c r="R23" s="3">
        <v>0.59</v>
      </c>
      <c r="S23" s="4">
        <v>0.59</v>
      </c>
      <c r="T23" s="4">
        <v>0.59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0.61</v>
      </c>
      <c r="C27" s="2">
        <v>0.75</v>
      </c>
      <c r="D27" s="2">
        <v>0.67</v>
      </c>
      <c r="E27" s="32">
        <v>163</v>
      </c>
      <c r="F27" s="2" t="s">
        <v>231</v>
      </c>
      <c r="G27" s="5">
        <v>0.64872918492550302</v>
      </c>
      <c r="H27" s="15"/>
      <c r="I27" s="35">
        <v>0</v>
      </c>
      <c r="J27" s="1">
        <v>0.6</v>
      </c>
      <c r="K27" s="2">
        <v>0.66</v>
      </c>
      <c r="L27" s="2">
        <v>0.63</v>
      </c>
      <c r="M27" s="32">
        <v>932</v>
      </c>
      <c r="N27" s="2" t="s">
        <v>247</v>
      </c>
      <c r="O27" s="5">
        <v>0.62858651231981899</v>
      </c>
      <c r="P27" s="15"/>
      <c r="Q27" s="35">
        <v>0</v>
      </c>
      <c r="R27" s="1">
        <v>0.68</v>
      </c>
      <c r="S27" s="2">
        <v>0.55000000000000004</v>
      </c>
      <c r="T27" s="2">
        <v>0.6</v>
      </c>
      <c r="U27" s="32">
        <v>811</v>
      </c>
      <c r="V27" s="2" t="s">
        <v>264</v>
      </c>
      <c r="W27" s="5">
        <v>0.68015479765363396</v>
      </c>
    </row>
    <row r="28" spans="1:23" ht="15" customHeight="1" x14ac:dyDescent="0.15">
      <c r="A28" s="36">
        <v>1</v>
      </c>
      <c r="B28" s="3">
        <v>0.7</v>
      </c>
      <c r="C28" s="4">
        <v>0.54</v>
      </c>
      <c r="D28" s="4">
        <v>0.61</v>
      </c>
      <c r="E28" s="33">
        <v>175</v>
      </c>
      <c r="F28" s="4" t="s">
        <v>232</v>
      </c>
      <c r="G28" s="26"/>
      <c r="H28" s="15"/>
      <c r="I28" s="36">
        <v>1</v>
      </c>
      <c r="J28" s="3">
        <v>0.65</v>
      </c>
      <c r="K28" s="4">
        <v>0.6</v>
      </c>
      <c r="L28" s="4">
        <v>0.63</v>
      </c>
      <c r="M28" s="33">
        <v>1004</v>
      </c>
      <c r="N28" s="4" t="s">
        <v>107</v>
      </c>
      <c r="O28" s="26"/>
      <c r="P28" s="15"/>
      <c r="Q28" s="36">
        <v>1</v>
      </c>
      <c r="R28" s="3">
        <v>0.72</v>
      </c>
      <c r="S28" s="4">
        <v>0.82</v>
      </c>
      <c r="T28" s="4">
        <v>0.76</v>
      </c>
      <c r="U28" s="33">
        <v>1137</v>
      </c>
      <c r="V28" s="4" t="s">
        <v>265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0.64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0.65</v>
      </c>
      <c r="C30" s="4">
        <v>0.65</v>
      </c>
      <c r="D30" s="4">
        <v>0.64</v>
      </c>
      <c r="E30" s="33">
        <v>338</v>
      </c>
      <c r="F30" s="4"/>
      <c r="G30" s="26"/>
      <c r="H30" s="15"/>
      <c r="I30" s="37" t="s">
        <v>97</v>
      </c>
      <c r="J30" s="3">
        <v>0.63</v>
      </c>
      <c r="K30" s="4">
        <v>0.63</v>
      </c>
      <c r="L30" s="4">
        <v>0.63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0.68</v>
      </c>
      <c r="T30" s="4">
        <v>0.68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0.66</v>
      </c>
      <c r="C31" s="4">
        <v>0.64</v>
      </c>
      <c r="D31" s="4">
        <v>0.64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0.63</v>
      </c>
      <c r="M31" s="33">
        <v>1936</v>
      </c>
      <c r="N31" s="4"/>
      <c r="O31" s="26"/>
      <c r="P31" s="15"/>
      <c r="Q31" s="37" t="s">
        <v>98</v>
      </c>
      <c r="R31" s="3">
        <v>0.7</v>
      </c>
      <c r="S31" s="4">
        <v>0.7</v>
      </c>
      <c r="T31" s="4">
        <v>0.7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0.57999999999999996</v>
      </c>
      <c r="C35" s="2">
        <v>0.72</v>
      </c>
      <c r="D35" s="2">
        <v>0.64</v>
      </c>
      <c r="E35" s="32">
        <v>163</v>
      </c>
      <c r="F35" s="2" t="s">
        <v>233</v>
      </c>
      <c r="G35" s="5">
        <v>0.61318141980718599</v>
      </c>
      <c r="H35" s="15"/>
      <c r="I35" s="35">
        <v>0</v>
      </c>
      <c r="J35" s="1">
        <v>0.6</v>
      </c>
      <c r="K35" s="2">
        <v>0.67</v>
      </c>
      <c r="L35" s="2">
        <v>0.63</v>
      </c>
      <c r="M35" s="32">
        <v>932</v>
      </c>
      <c r="N35" s="2" t="s">
        <v>248</v>
      </c>
      <c r="O35" s="5">
        <v>0.62728698938152905</v>
      </c>
      <c r="P35" s="15"/>
      <c r="Q35" s="35">
        <v>0</v>
      </c>
      <c r="R35" s="1">
        <v>0.63</v>
      </c>
      <c r="S35" s="2">
        <v>0.56000000000000005</v>
      </c>
      <c r="T35" s="2">
        <v>0.6</v>
      </c>
      <c r="U35" s="32">
        <v>811</v>
      </c>
      <c r="V35" s="2" t="s">
        <v>266</v>
      </c>
      <c r="W35" s="5">
        <v>0.66547916890339098</v>
      </c>
    </row>
    <row r="36" spans="1:23" ht="15" customHeight="1" x14ac:dyDescent="0.15">
      <c r="A36" s="36">
        <v>1</v>
      </c>
      <c r="B36" s="3">
        <v>0.66</v>
      </c>
      <c r="C36" s="4">
        <v>0.51</v>
      </c>
      <c r="D36" s="4">
        <v>0.56999999999999995</v>
      </c>
      <c r="E36" s="33">
        <v>175</v>
      </c>
      <c r="F36" s="4" t="s">
        <v>234</v>
      </c>
      <c r="G36" s="26"/>
      <c r="H36" s="15"/>
      <c r="I36" s="36">
        <v>1</v>
      </c>
      <c r="J36" s="3">
        <v>0.66</v>
      </c>
      <c r="K36" s="4">
        <v>0.57999999999999996</v>
      </c>
      <c r="L36" s="4">
        <v>0.62</v>
      </c>
      <c r="M36" s="33">
        <v>1004</v>
      </c>
      <c r="N36" s="4" t="s">
        <v>249</v>
      </c>
      <c r="O36" s="26"/>
      <c r="P36" s="15"/>
      <c r="Q36" s="36">
        <v>1</v>
      </c>
      <c r="R36" s="3">
        <v>0.71</v>
      </c>
      <c r="S36" s="4">
        <v>0.77</v>
      </c>
      <c r="T36" s="4">
        <v>0.74</v>
      </c>
      <c r="U36" s="33">
        <v>1137</v>
      </c>
      <c r="V36" s="4" t="s">
        <v>267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0.61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0.63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0.62</v>
      </c>
      <c r="C38" s="4">
        <v>0.61</v>
      </c>
      <c r="D38" s="4">
        <v>0.61</v>
      </c>
      <c r="E38" s="33">
        <v>338</v>
      </c>
      <c r="F38" s="4"/>
      <c r="G38" s="26"/>
      <c r="H38" s="15"/>
      <c r="I38" s="37" t="s">
        <v>97</v>
      </c>
      <c r="J38" s="3">
        <v>0.63</v>
      </c>
      <c r="K38" s="4">
        <v>0.63</v>
      </c>
      <c r="L38" s="4">
        <v>0.63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0.67</v>
      </c>
      <c r="T38" s="4">
        <v>0.67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0.62</v>
      </c>
      <c r="C39" s="4">
        <v>0.61</v>
      </c>
      <c r="D39" s="4">
        <v>0.61</v>
      </c>
      <c r="E39" s="33">
        <v>338</v>
      </c>
      <c r="F39" s="4"/>
      <c r="G39" s="26"/>
      <c r="H39" s="15"/>
      <c r="I39" s="37" t="s">
        <v>98</v>
      </c>
      <c r="J39" s="3">
        <v>0.63</v>
      </c>
      <c r="K39" s="4">
        <v>0.63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0.68</v>
      </c>
      <c r="S39" s="4">
        <v>0.68</v>
      </c>
      <c r="T39" s="4">
        <v>0.68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0.55000000000000004</v>
      </c>
      <c r="C43" s="2">
        <v>0.31</v>
      </c>
      <c r="D43" s="2">
        <v>0.4</v>
      </c>
      <c r="E43" s="32">
        <v>163</v>
      </c>
      <c r="F43" s="2" t="s">
        <v>132</v>
      </c>
      <c r="G43" s="5">
        <v>0.53929886064855304</v>
      </c>
      <c r="H43" s="15"/>
      <c r="I43" s="35">
        <v>0</v>
      </c>
      <c r="J43" s="1">
        <v>0.52</v>
      </c>
      <c r="K43" s="2">
        <v>0.78</v>
      </c>
      <c r="L43" s="2">
        <v>0.62</v>
      </c>
      <c r="M43" s="32">
        <v>932</v>
      </c>
      <c r="N43" s="2" t="s">
        <v>250</v>
      </c>
      <c r="O43" s="5">
        <v>0.55371218986713999</v>
      </c>
      <c r="P43" s="15"/>
      <c r="Q43" s="35">
        <v>0</v>
      </c>
      <c r="R43" s="1">
        <v>0.48</v>
      </c>
      <c r="S43" s="2">
        <v>0.9</v>
      </c>
      <c r="T43" s="2">
        <v>0.62</v>
      </c>
      <c r="U43" s="32">
        <v>811</v>
      </c>
      <c r="V43" s="2" t="s">
        <v>268</v>
      </c>
      <c r="W43" s="5">
        <v>0.59711616981543303</v>
      </c>
    </row>
    <row r="44" spans="1:23" ht="15" customHeight="1" x14ac:dyDescent="0.15">
      <c r="A44" s="36">
        <v>1</v>
      </c>
      <c r="B44" s="3">
        <v>0.54</v>
      </c>
      <c r="C44" s="4">
        <v>0.77</v>
      </c>
      <c r="D44" s="4">
        <v>0.64</v>
      </c>
      <c r="E44" s="33">
        <v>175</v>
      </c>
      <c r="F44" s="4" t="s">
        <v>235</v>
      </c>
      <c r="G44" s="26"/>
      <c r="H44" s="15"/>
      <c r="I44" s="36">
        <v>1</v>
      </c>
      <c r="J44" s="3">
        <v>0.61</v>
      </c>
      <c r="K44" s="4">
        <v>0.33</v>
      </c>
      <c r="L44" s="4">
        <v>0.43</v>
      </c>
      <c r="M44" s="33">
        <v>1004</v>
      </c>
      <c r="N44" s="4" t="s">
        <v>251</v>
      </c>
      <c r="O44" s="26"/>
      <c r="P44" s="15"/>
      <c r="Q44" s="36">
        <v>1</v>
      </c>
      <c r="R44" s="3">
        <v>0.81</v>
      </c>
      <c r="S44" s="4">
        <v>0.28999999999999998</v>
      </c>
      <c r="T44" s="4">
        <v>0.43</v>
      </c>
      <c r="U44" s="33">
        <v>1137</v>
      </c>
      <c r="V44" s="4" t="s">
        <v>269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0.55000000000000004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0.55000000000000004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0.55000000000000004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0.55000000000000004</v>
      </c>
      <c r="C46" s="4">
        <v>0.54</v>
      </c>
      <c r="D46" s="4">
        <v>0.52</v>
      </c>
      <c r="E46" s="33">
        <v>338</v>
      </c>
      <c r="F46" s="4"/>
      <c r="G46" s="26"/>
      <c r="H46" s="15"/>
      <c r="I46" s="37" t="s">
        <v>97</v>
      </c>
      <c r="J46" s="3">
        <v>0.56999999999999995</v>
      </c>
      <c r="K46" s="4">
        <v>0.55000000000000004</v>
      </c>
      <c r="L46" s="4">
        <v>0.53</v>
      </c>
      <c r="M46" s="33">
        <v>1936</v>
      </c>
      <c r="N46" s="4"/>
      <c r="O46" s="26"/>
      <c r="P46" s="15"/>
      <c r="Q46" s="37" t="s">
        <v>97</v>
      </c>
      <c r="R46" s="3">
        <v>0.64</v>
      </c>
      <c r="S46" s="4">
        <v>0.6</v>
      </c>
      <c r="T46" s="4">
        <v>0.53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0.55000000000000004</v>
      </c>
      <c r="C47" s="4">
        <v>0.55000000000000004</v>
      </c>
      <c r="D47" s="4">
        <v>0.52</v>
      </c>
      <c r="E47" s="33">
        <v>338</v>
      </c>
      <c r="F47" s="4"/>
      <c r="G47" s="26"/>
      <c r="H47" s="15"/>
      <c r="I47" s="37" t="s">
        <v>98</v>
      </c>
      <c r="J47" s="3">
        <v>0.56999999999999995</v>
      </c>
      <c r="K47" s="4">
        <v>0.55000000000000004</v>
      </c>
      <c r="L47" s="4">
        <v>0.52</v>
      </c>
      <c r="M47" s="33">
        <v>1936</v>
      </c>
      <c r="N47" s="4"/>
      <c r="O47" s="26"/>
      <c r="P47" s="15"/>
      <c r="Q47" s="37" t="s">
        <v>98</v>
      </c>
      <c r="R47" s="3">
        <v>0.67</v>
      </c>
      <c r="S47" s="4">
        <v>0.55000000000000004</v>
      </c>
      <c r="T47" s="4">
        <v>0.51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0.64</v>
      </c>
      <c r="C51" s="2">
        <v>0.39</v>
      </c>
      <c r="D51" s="2">
        <v>0.48</v>
      </c>
      <c r="E51" s="32">
        <v>163</v>
      </c>
      <c r="F51" s="2" t="s">
        <v>236</v>
      </c>
      <c r="G51" s="5">
        <v>0.59325153374233097</v>
      </c>
      <c r="H51" s="15"/>
      <c r="I51" s="35">
        <v>0</v>
      </c>
      <c r="J51" s="1">
        <v>0.68</v>
      </c>
      <c r="K51" s="2">
        <v>0.26</v>
      </c>
      <c r="L51" s="2">
        <v>0.38</v>
      </c>
      <c r="M51" s="32">
        <v>915</v>
      </c>
      <c r="N51" s="2" t="s">
        <v>252</v>
      </c>
      <c r="O51" s="5">
        <v>0.57488693716114603</v>
      </c>
      <c r="P51" s="15"/>
      <c r="Q51" s="35">
        <v>0</v>
      </c>
      <c r="R51" s="1">
        <v>0.69</v>
      </c>
      <c r="S51" s="2">
        <v>0.34</v>
      </c>
      <c r="T51" s="2">
        <v>0.46</v>
      </c>
      <c r="U51" s="32">
        <v>881</v>
      </c>
      <c r="V51" s="2" t="s">
        <v>144</v>
      </c>
      <c r="W51" s="5">
        <v>0.60870219685179205</v>
      </c>
    </row>
    <row r="52" spans="1:23" ht="15" customHeight="1" x14ac:dyDescent="0.15">
      <c r="A52" s="36">
        <v>1</v>
      </c>
      <c r="B52" s="3">
        <v>0.57999999999999996</v>
      </c>
      <c r="C52" s="4">
        <v>0.8</v>
      </c>
      <c r="D52" s="4">
        <v>0.67</v>
      </c>
      <c r="E52" s="33">
        <v>175</v>
      </c>
      <c r="F52" s="4" t="s">
        <v>237</v>
      </c>
      <c r="G52" s="26"/>
      <c r="H52" s="15"/>
      <c r="I52" s="36">
        <v>1</v>
      </c>
      <c r="J52" s="3">
        <v>0.56999999999999995</v>
      </c>
      <c r="K52" s="4">
        <v>0.89</v>
      </c>
      <c r="L52" s="4">
        <v>0.7</v>
      </c>
      <c r="M52" s="33">
        <v>1021</v>
      </c>
      <c r="N52" s="4" t="s">
        <v>253</v>
      </c>
      <c r="O52" s="26"/>
      <c r="P52" s="15"/>
      <c r="Q52" s="36">
        <v>1</v>
      </c>
      <c r="R52" s="3">
        <v>0.62</v>
      </c>
      <c r="S52" s="4">
        <v>0.87</v>
      </c>
      <c r="T52" s="4">
        <v>0.72</v>
      </c>
      <c r="U52" s="33">
        <v>1067</v>
      </c>
      <c r="V52" s="4" t="s">
        <v>270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0.6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0.63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0.61</v>
      </c>
      <c r="C54" s="4">
        <v>0.59</v>
      </c>
      <c r="D54" s="4">
        <v>0.57999999999999996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0.56999999999999995</v>
      </c>
      <c r="L54" s="4">
        <v>0.54</v>
      </c>
      <c r="M54" s="33">
        <v>1936</v>
      </c>
      <c r="N54" s="4"/>
      <c r="O54" s="26"/>
      <c r="P54" s="15"/>
      <c r="Q54" s="37" t="s">
        <v>97</v>
      </c>
      <c r="R54" s="3">
        <v>0.65</v>
      </c>
      <c r="S54" s="4">
        <v>0.61</v>
      </c>
      <c r="T54" s="4">
        <v>0.59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0.61</v>
      </c>
      <c r="C55" s="4">
        <v>0.6</v>
      </c>
      <c r="D55" s="4">
        <v>0.57999999999999996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0.59</v>
      </c>
      <c r="L55" s="4">
        <v>0.55000000000000004</v>
      </c>
      <c r="M55" s="33">
        <v>1936</v>
      </c>
      <c r="N55" s="4"/>
      <c r="O55" s="26"/>
      <c r="P55" s="15"/>
      <c r="Q55" s="37" t="s">
        <v>98</v>
      </c>
      <c r="R55" s="3">
        <v>0.65</v>
      </c>
      <c r="S55" s="4">
        <v>0.63</v>
      </c>
      <c r="T55" s="4">
        <v>0.6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0.56999999999999995</v>
      </c>
      <c r="C59" s="2">
        <v>0.51</v>
      </c>
      <c r="D59" s="2">
        <v>0.54</v>
      </c>
      <c r="E59" s="32">
        <v>163</v>
      </c>
      <c r="F59" s="2" t="s">
        <v>238</v>
      </c>
      <c r="G59" s="5">
        <v>0.57745836985100696</v>
      </c>
      <c r="H59" s="15"/>
      <c r="I59" s="35">
        <v>0</v>
      </c>
      <c r="J59" s="1">
        <v>0.61</v>
      </c>
      <c r="K59" s="2">
        <v>0.44</v>
      </c>
      <c r="L59" s="2">
        <v>0.51</v>
      </c>
      <c r="M59" s="32">
        <v>915</v>
      </c>
      <c r="N59" s="2" t="s">
        <v>254</v>
      </c>
      <c r="O59" s="5">
        <v>0.59217578394695003</v>
      </c>
      <c r="P59" s="15"/>
      <c r="Q59" s="35">
        <v>0</v>
      </c>
      <c r="R59" s="1">
        <v>0.62</v>
      </c>
      <c r="S59" s="2">
        <v>0.38</v>
      </c>
      <c r="T59" s="2">
        <v>0.47</v>
      </c>
      <c r="U59" s="32">
        <v>881</v>
      </c>
      <c r="V59" s="2" t="s">
        <v>91</v>
      </c>
      <c r="W59" s="5">
        <v>0.593665394717385</v>
      </c>
    </row>
    <row r="60" spans="1:23" ht="15" customHeight="1" x14ac:dyDescent="0.15">
      <c r="A60" s="36">
        <v>1</v>
      </c>
      <c r="B60" s="3">
        <v>0.59</v>
      </c>
      <c r="C60" s="4">
        <v>0.65</v>
      </c>
      <c r="D60" s="4">
        <v>0.61</v>
      </c>
      <c r="E60" s="33">
        <v>175</v>
      </c>
      <c r="F60" s="4" t="s">
        <v>239</v>
      </c>
      <c r="G60" s="26"/>
      <c r="H60" s="15"/>
      <c r="I60" s="36">
        <v>1</v>
      </c>
      <c r="J60" s="3">
        <v>0.6</v>
      </c>
      <c r="K60" s="4">
        <v>0.75</v>
      </c>
      <c r="L60" s="4">
        <v>0.66</v>
      </c>
      <c r="M60" s="33">
        <v>1021</v>
      </c>
      <c r="N60" s="4" t="s">
        <v>255</v>
      </c>
      <c r="O60" s="26"/>
      <c r="P60" s="15"/>
      <c r="Q60" s="36">
        <v>1</v>
      </c>
      <c r="R60" s="3">
        <v>0.61</v>
      </c>
      <c r="S60" s="4">
        <v>0.81</v>
      </c>
      <c r="T60" s="4">
        <v>0.7</v>
      </c>
      <c r="U60" s="33">
        <v>1067</v>
      </c>
      <c r="V60" s="4" t="s">
        <v>271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0.57999999999999996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0.6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0.61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0.57999999999999996</v>
      </c>
      <c r="C62" s="4">
        <v>0.57999999999999996</v>
      </c>
      <c r="D62" s="4">
        <v>0.57999999999999996</v>
      </c>
      <c r="E62" s="33">
        <v>338</v>
      </c>
      <c r="F62" s="4"/>
      <c r="G62" s="26"/>
      <c r="H62" s="15"/>
      <c r="I62" s="37" t="s">
        <v>97</v>
      </c>
      <c r="J62" s="3">
        <v>0.6</v>
      </c>
      <c r="K62" s="4">
        <v>0.59</v>
      </c>
      <c r="L62" s="4">
        <v>0.59</v>
      </c>
      <c r="M62" s="33">
        <v>1936</v>
      </c>
      <c r="N62" s="4"/>
      <c r="O62" s="26"/>
      <c r="P62" s="15"/>
      <c r="Q62" s="37" t="s">
        <v>97</v>
      </c>
      <c r="R62" s="3">
        <v>0.62</v>
      </c>
      <c r="S62" s="4">
        <v>0.59</v>
      </c>
      <c r="T62" s="4">
        <v>0.57999999999999996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0.57999999999999996</v>
      </c>
      <c r="C63" s="4">
        <v>0.57999999999999996</v>
      </c>
      <c r="D63" s="4">
        <v>0.57999999999999996</v>
      </c>
      <c r="E63" s="33">
        <v>338</v>
      </c>
      <c r="F63" s="4"/>
      <c r="G63" s="26"/>
      <c r="H63" s="15"/>
      <c r="I63" s="37" t="s">
        <v>98</v>
      </c>
      <c r="J63" s="3">
        <v>0.6</v>
      </c>
      <c r="K63" s="4">
        <v>0.6</v>
      </c>
      <c r="L63" s="4">
        <v>0.59</v>
      </c>
      <c r="M63" s="33">
        <v>1936</v>
      </c>
      <c r="N63" s="4"/>
      <c r="O63" s="26"/>
      <c r="P63" s="15"/>
      <c r="Q63" s="37" t="s">
        <v>98</v>
      </c>
      <c r="R63" s="3">
        <v>0.62</v>
      </c>
      <c r="S63" s="4">
        <v>0.61</v>
      </c>
      <c r="T63" s="4">
        <v>0.59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0.52</v>
      </c>
      <c r="C67" s="2">
        <v>0.64</v>
      </c>
      <c r="D67" s="2">
        <v>0.56999999999999995</v>
      </c>
      <c r="E67" s="32">
        <v>163</v>
      </c>
      <c r="F67" s="2" t="s">
        <v>240</v>
      </c>
      <c r="G67" s="5">
        <v>0.54758983347940404</v>
      </c>
      <c r="H67" s="15"/>
      <c r="I67" s="35">
        <v>0</v>
      </c>
      <c r="J67" s="1">
        <v>0.63</v>
      </c>
      <c r="K67" s="2">
        <v>0.21</v>
      </c>
      <c r="L67" s="2">
        <v>0.31</v>
      </c>
      <c r="M67" s="32">
        <v>915</v>
      </c>
      <c r="N67" s="2" t="s">
        <v>256</v>
      </c>
      <c r="O67" s="5">
        <v>0.54794078450891903</v>
      </c>
      <c r="P67" s="15"/>
      <c r="Q67" s="35">
        <v>0</v>
      </c>
      <c r="R67" s="1">
        <v>0.48</v>
      </c>
      <c r="S67" s="2">
        <v>0.93</v>
      </c>
      <c r="T67" s="2">
        <v>0.63</v>
      </c>
      <c r="U67" s="32">
        <v>881</v>
      </c>
      <c r="V67" s="2" t="s">
        <v>272</v>
      </c>
      <c r="W67" s="5">
        <v>0.54711513605460205</v>
      </c>
    </row>
    <row r="68" spans="1:23" ht="15" customHeight="1" x14ac:dyDescent="0.15">
      <c r="A68" s="36">
        <v>1</v>
      </c>
      <c r="B68" s="3">
        <v>0.57999999999999996</v>
      </c>
      <c r="C68" s="4">
        <v>0.46</v>
      </c>
      <c r="D68" s="4">
        <v>0.51</v>
      </c>
      <c r="E68" s="33">
        <v>175</v>
      </c>
      <c r="F68" s="4" t="s">
        <v>241</v>
      </c>
      <c r="G68" s="26"/>
      <c r="H68" s="15"/>
      <c r="I68" s="36">
        <v>1</v>
      </c>
      <c r="J68" s="3">
        <v>0.56000000000000005</v>
      </c>
      <c r="K68" s="4">
        <v>0.89</v>
      </c>
      <c r="L68" s="4">
        <v>0.68</v>
      </c>
      <c r="M68" s="33">
        <v>1021</v>
      </c>
      <c r="N68" s="4" t="s">
        <v>257</v>
      </c>
      <c r="O68" s="26"/>
      <c r="P68" s="15"/>
      <c r="Q68" s="36">
        <v>1</v>
      </c>
      <c r="R68" s="3">
        <v>0.74</v>
      </c>
      <c r="S68" s="4">
        <v>0.16</v>
      </c>
      <c r="T68" s="4">
        <v>0.27</v>
      </c>
      <c r="U68" s="33">
        <v>1067</v>
      </c>
      <c r="V68" s="4" t="s">
        <v>273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0.54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0.56999999999999995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0.51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0.55000000000000004</v>
      </c>
      <c r="C70" s="4">
        <v>0.55000000000000004</v>
      </c>
      <c r="D70" s="4">
        <v>0.54</v>
      </c>
      <c r="E70" s="33">
        <v>338</v>
      </c>
      <c r="F70" s="4"/>
      <c r="G70" s="26"/>
      <c r="H70" s="15"/>
      <c r="I70" s="37" t="s">
        <v>97</v>
      </c>
      <c r="J70" s="3">
        <v>0.59</v>
      </c>
      <c r="K70" s="4">
        <v>0.55000000000000004</v>
      </c>
      <c r="L70" s="4">
        <v>0.5</v>
      </c>
      <c r="M70" s="33">
        <v>1936</v>
      </c>
      <c r="N70" s="4"/>
      <c r="O70" s="26"/>
      <c r="P70" s="15"/>
      <c r="Q70" s="37" t="s">
        <v>97</v>
      </c>
      <c r="R70" s="3">
        <v>0.61</v>
      </c>
      <c r="S70" s="4">
        <v>0.55000000000000004</v>
      </c>
      <c r="T70" s="4">
        <v>0.45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0.55000000000000004</v>
      </c>
      <c r="C71" s="4">
        <v>0.54</v>
      </c>
      <c r="D71" s="4">
        <v>0.54</v>
      </c>
      <c r="E71" s="33">
        <v>338</v>
      </c>
      <c r="F71" s="4"/>
      <c r="G71" s="26"/>
      <c r="H71" s="20"/>
      <c r="I71" s="37" t="s">
        <v>98</v>
      </c>
      <c r="J71" s="3">
        <v>0.59</v>
      </c>
      <c r="K71" s="4">
        <v>0.56999999999999995</v>
      </c>
      <c r="L71" s="4">
        <v>0.51</v>
      </c>
      <c r="M71" s="33">
        <v>1936</v>
      </c>
      <c r="N71" s="4"/>
      <c r="O71" s="26"/>
      <c r="P71" s="20"/>
      <c r="Q71" s="37" t="s">
        <v>98</v>
      </c>
      <c r="R71" s="3">
        <v>0.62</v>
      </c>
      <c r="S71" s="4">
        <v>0.51</v>
      </c>
      <c r="T71" s="4">
        <v>0.43</v>
      </c>
      <c r="U71" s="33">
        <v>1948</v>
      </c>
      <c r="V71" s="4"/>
      <c r="W71" s="26"/>
    </row>
  </sheetData>
  <mergeCells count="27">
    <mergeCell ref="A49:G49"/>
    <mergeCell ref="I49:O49"/>
    <mergeCell ref="I65:O65"/>
    <mergeCell ref="Q65:W65"/>
    <mergeCell ref="Q49:W49"/>
    <mergeCell ref="A57:G57"/>
    <mergeCell ref="I57:O57"/>
    <mergeCell ref="Q57:W57"/>
    <mergeCell ref="A65:G65"/>
    <mergeCell ref="A33:G33"/>
    <mergeCell ref="I33:O33"/>
    <mergeCell ref="Q33:W33"/>
    <mergeCell ref="A41:G41"/>
    <mergeCell ref="I41:O41"/>
    <mergeCell ref="Q41:W41"/>
    <mergeCell ref="A17:G17"/>
    <mergeCell ref="I17:O17"/>
    <mergeCell ref="Q17:W17"/>
    <mergeCell ref="A25:G25"/>
    <mergeCell ref="I25:O25"/>
    <mergeCell ref="Q25:W25"/>
    <mergeCell ref="A1:G1"/>
    <mergeCell ref="I1:O1"/>
    <mergeCell ref="Q1:W1"/>
    <mergeCell ref="A9:G9"/>
    <mergeCell ref="I9:O9"/>
    <mergeCell ref="Q9:W9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71"/>
  <sheetViews>
    <sheetView showGridLines="0" workbookViewId="0">
      <selection activeCell="F28" sqref="F28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0.66</v>
      </c>
      <c r="C3" s="16">
        <v>0.65</v>
      </c>
      <c r="D3" s="16">
        <v>0.65</v>
      </c>
      <c r="E3" s="29">
        <v>192</v>
      </c>
      <c r="F3" s="16" t="s">
        <v>274</v>
      </c>
      <c r="G3" s="23">
        <v>0.60373858447488504</v>
      </c>
      <c r="H3" s="15"/>
      <c r="I3" s="35">
        <v>0</v>
      </c>
      <c r="J3" s="10">
        <v>0.68</v>
      </c>
      <c r="K3" s="16">
        <v>0.62</v>
      </c>
      <c r="L3" s="16">
        <v>0.65</v>
      </c>
      <c r="M3" s="29">
        <v>1075</v>
      </c>
      <c r="N3" s="16" t="s">
        <v>289</v>
      </c>
      <c r="O3" s="23">
        <v>0.63172028198687302</v>
      </c>
      <c r="P3" s="15"/>
      <c r="Q3" s="35">
        <v>0</v>
      </c>
      <c r="R3" s="10">
        <v>0.73</v>
      </c>
      <c r="S3" s="16">
        <v>0.54</v>
      </c>
      <c r="T3" s="16">
        <v>0.62</v>
      </c>
      <c r="U3" s="29">
        <v>986</v>
      </c>
      <c r="V3" s="16" t="s">
        <v>307</v>
      </c>
      <c r="W3" s="23">
        <v>0.66738602387689605</v>
      </c>
    </row>
    <row r="4" spans="1:23" ht="15" customHeight="1" x14ac:dyDescent="0.15">
      <c r="A4" s="36">
        <v>1</v>
      </c>
      <c r="B4" s="11">
        <v>0.55000000000000004</v>
      </c>
      <c r="C4" s="12">
        <v>0.56000000000000005</v>
      </c>
      <c r="D4" s="12">
        <v>0.55000000000000004</v>
      </c>
      <c r="E4" s="30">
        <v>146</v>
      </c>
      <c r="F4" s="12" t="s">
        <v>275</v>
      </c>
      <c r="G4" s="24"/>
      <c r="H4" s="15"/>
      <c r="I4" s="36">
        <v>1</v>
      </c>
      <c r="J4" s="11">
        <v>0.57999999999999996</v>
      </c>
      <c r="K4" s="12">
        <v>0.64</v>
      </c>
      <c r="L4" s="12">
        <v>0.61</v>
      </c>
      <c r="M4" s="30">
        <v>861</v>
      </c>
      <c r="N4" s="12" t="s">
        <v>290</v>
      </c>
      <c r="O4" s="24"/>
      <c r="P4" s="15"/>
      <c r="Q4" s="36">
        <v>1</v>
      </c>
      <c r="R4" s="11">
        <v>0.63</v>
      </c>
      <c r="S4" s="12">
        <v>0.8</v>
      </c>
      <c r="T4" s="12">
        <v>0.7</v>
      </c>
      <c r="U4" s="30">
        <v>962</v>
      </c>
      <c r="V4" s="12" t="s">
        <v>308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0.61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</v>
      </c>
      <c r="C6" s="12">
        <v>0.6</v>
      </c>
      <c r="D6" s="12">
        <v>0.6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0.63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0.67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0.61</v>
      </c>
      <c r="C7" s="12">
        <v>0.61</v>
      </c>
      <c r="D7" s="12">
        <v>0.61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0.67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0.66</v>
      </c>
      <c r="C11" s="2">
        <v>0.75</v>
      </c>
      <c r="D11" s="2">
        <v>0.7</v>
      </c>
      <c r="E11" s="32">
        <v>192</v>
      </c>
      <c r="F11" s="19" t="s">
        <v>276</v>
      </c>
      <c r="G11" s="5">
        <v>0.61815068493150604</v>
      </c>
      <c r="H11" s="15"/>
      <c r="I11" s="35">
        <v>0</v>
      </c>
      <c r="J11" s="1">
        <v>0.66</v>
      </c>
      <c r="K11" s="2">
        <v>0.67</v>
      </c>
      <c r="L11" s="2">
        <v>0.67</v>
      </c>
      <c r="M11" s="32">
        <v>1075</v>
      </c>
      <c r="N11" s="19" t="s">
        <v>291</v>
      </c>
      <c r="O11" s="5">
        <v>0.62257407557464195</v>
      </c>
      <c r="P11" s="15"/>
      <c r="Q11" s="35">
        <v>0</v>
      </c>
      <c r="R11" s="1">
        <v>0.69</v>
      </c>
      <c r="S11" s="2">
        <v>0.56000000000000005</v>
      </c>
      <c r="T11" s="2">
        <v>0.62</v>
      </c>
      <c r="U11" s="32">
        <v>986</v>
      </c>
      <c r="V11" s="19" t="s">
        <v>309</v>
      </c>
      <c r="W11" s="5">
        <v>0.65157843910379398</v>
      </c>
    </row>
    <row r="12" spans="1:23" ht="15" customHeight="1" x14ac:dyDescent="0.15">
      <c r="A12" s="36">
        <v>1</v>
      </c>
      <c r="B12" s="3">
        <v>0.6</v>
      </c>
      <c r="C12" s="4">
        <v>0.49</v>
      </c>
      <c r="D12" s="4">
        <v>0.54</v>
      </c>
      <c r="E12" s="33">
        <v>146</v>
      </c>
      <c r="F12" s="4" t="s">
        <v>277</v>
      </c>
      <c r="G12" s="26"/>
      <c r="H12" s="15"/>
      <c r="I12" s="36">
        <v>1</v>
      </c>
      <c r="J12" s="3">
        <v>0.57999999999999996</v>
      </c>
      <c r="K12" s="4">
        <v>0.56999999999999995</v>
      </c>
      <c r="L12" s="4">
        <v>0.57999999999999996</v>
      </c>
      <c r="M12" s="33">
        <v>861</v>
      </c>
      <c r="N12" s="4" t="s">
        <v>292</v>
      </c>
      <c r="O12" s="26"/>
      <c r="P12" s="15"/>
      <c r="Q12" s="36">
        <v>1</v>
      </c>
      <c r="R12" s="3">
        <v>0.62</v>
      </c>
      <c r="S12" s="4">
        <v>0.75</v>
      </c>
      <c r="T12" s="4">
        <v>0.68</v>
      </c>
      <c r="U12" s="33">
        <v>962</v>
      </c>
      <c r="V12" s="4" t="s">
        <v>310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0.64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0.63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0.65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0.63</v>
      </c>
      <c r="C14" s="4">
        <v>0.62</v>
      </c>
      <c r="D14" s="4">
        <v>0.62</v>
      </c>
      <c r="E14" s="33">
        <v>338</v>
      </c>
      <c r="F14" s="4"/>
      <c r="G14" s="26"/>
      <c r="H14" s="15"/>
      <c r="I14" s="37" t="s">
        <v>97</v>
      </c>
      <c r="J14" s="3">
        <v>0.62</v>
      </c>
      <c r="K14" s="4">
        <v>0.62</v>
      </c>
      <c r="L14" s="4">
        <v>0.62</v>
      </c>
      <c r="M14" s="33">
        <v>1936</v>
      </c>
      <c r="N14" s="4"/>
      <c r="O14" s="26"/>
      <c r="P14" s="15"/>
      <c r="Q14" s="37" t="s">
        <v>97</v>
      </c>
      <c r="R14" s="3">
        <v>0.66</v>
      </c>
      <c r="S14" s="4">
        <v>0.65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0.63</v>
      </c>
      <c r="C15" s="4">
        <v>0.64</v>
      </c>
      <c r="D15" s="4">
        <v>0.63</v>
      </c>
      <c r="E15" s="33">
        <v>338</v>
      </c>
      <c r="F15" s="4"/>
      <c r="G15" s="26"/>
      <c r="H15" s="15"/>
      <c r="I15" s="37" t="s">
        <v>98</v>
      </c>
      <c r="J15" s="3">
        <v>0.63</v>
      </c>
      <c r="K15" s="4">
        <v>0.63</v>
      </c>
      <c r="L15" s="4">
        <v>0.63</v>
      </c>
      <c r="M15" s="33">
        <v>1936</v>
      </c>
      <c r="N15" s="4"/>
      <c r="O15" s="26"/>
      <c r="P15" s="15"/>
      <c r="Q15" s="37" t="s">
        <v>98</v>
      </c>
      <c r="R15" s="3">
        <v>0.66</v>
      </c>
      <c r="S15" s="4">
        <v>0.65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0.7</v>
      </c>
      <c r="C19" s="2">
        <v>0.28000000000000003</v>
      </c>
      <c r="D19" s="2">
        <v>0.4</v>
      </c>
      <c r="E19" s="32">
        <v>192</v>
      </c>
      <c r="F19" s="2" t="s">
        <v>278</v>
      </c>
      <c r="G19" s="5">
        <v>0.55925371004566204</v>
      </c>
      <c r="H19" s="15"/>
      <c r="I19" s="35">
        <v>0</v>
      </c>
      <c r="J19" s="1">
        <v>0.57999999999999996</v>
      </c>
      <c r="K19" s="2">
        <v>0.01</v>
      </c>
      <c r="L19" s="2">
        <v>0.01</v>
      </c>
      <c r="M19" s="32">
        <v>1075</v>
      </c>
      <c r="N19" s="2" t="s">
        <v>293</v>
      </c>
      <c r="O19" s="5">
        <v>0.50035221348891201</v>
      </c>
      <c r="P19" s="15"/>
      <c r="Q19" s="35">
        <v>0</v>
      </c>
      <c r="R19" s="1">
        <v>0.66</v>
      </c>
      <c r="S19" s="2">
        <v>0.38</v>
      </c>
      <c r="T19" s="2">
        <v>0.48</v>
      </c>
      <c r="U19" s="32">
        <v>986</v>
      </c>
      <c r="V19" s="2" t="s">
        <v>311</v>
      </c>
      <c r="W19" s="5">
        <v>0.58825321654936202</v>
      </c>
    </row>
    <row r="20" spans="1:23" ht="15" customHeight="1" x14ac:dyDescent="0.15">
      <c r="A20" s="36">
        <v>1</v>
      </c>
      <c r="B20" s="3">
        <v>0.47</v>
      </c>
      <c r="C20" s="4">
        <v>0.84</v>
      </c>
      <c r="D20" s="4">
        <v>0.6</v>
      </c>
      <c r="E20" s="33">
        <v>146</v>
      </c>
      <c r="F20" s="4" t="s">
        <v>279</v>
      </c>
      <c r="G20" s="26"/>
      <c r="H20" s="15"/>
      <c r="I20" s="36">
        <v>1</v>
      </c>
      <c r="J20" s="3">
        <v>0.44</v>
      </c>
      <c r="K20" s="4">
        <v>0.99</v>
      </c>
      <c r="L20" s="4">
        <v>0.61</v>
      </c>
      <c r="M20" s="33">
        <v>861</v>
      </c>
      <c r="N20" s="4" t="s">
        <v>294</v>
      </c>
      <c r="O20" s="26"/>
      <c r="P20" s="15"/>
      <c r="Q20" s="36">
        <v>1</v>
      </c>
      <c r="R20" s="3">
        <v>0.56000000000000005</v>
      </c>
      <c r="S20" s="4">
        <v>0.79</v>
      </c>
      <c r="T20" s="4">
        <v>0.65</v>
      </c>
      <c r="U20" s="33">
        <v>962</v>
      </c>
      <c r="V20" s="4" t="s">
        <v>312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0.52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0.45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0.59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0.57999999999999996</v>
      </c>
      <c r="C22" s="4">
        <v>0.56000000000000005</v>
      </c>
      <c r="D22" s="4">
        <v>0.5</v>
      </c>
      <c r="E22" s="33">
        <v>338</v>
      </c>
      <c r="F22" s="4"/>
      <c r="G22" s="26"/>
      <c r="H22" s="15"/>
      <c r="I22" s="37" t="s">
        <v>97</v>
      </c>
      <c r="J22" s="3">
        <v>0.51</v>
      </c>
      <c r="K22" s="4">
        <v>0.5</v>
      </c>
      <c r="L22" s="4">
        <v>0.31</v>
      </c>
      <c r="M22" s="33">
        <v>1936</v>
      </c>
      <c r="N22" s="4"/>
      <c r="O22" s="26"/>
      <c r="P22" s="15"/>
      <c r="Q22" s="37" t="s">
        <v>97</v>
      </c>
      <c r="R22" s="3">
        <v>0.61</v>
      </c>
      <c r="S22" s="4">
        <v>0.59</v>
      </c>
      <c r="T22" s="4">
        <v>0.56999999999999995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0.6</v>
      </c>
      <c r="C23" s="4">
        <v>0.52</v>
      </c>
      <c r="D23" s="4">
        <v>0.49</v>
      </c>
      <c r="E23" s="33">
        <v>338</v>
      </c>
      <c r="F23" s="4"/>
      <c r="G23" s="26"/>
      <c r="H23" s="15"/>
      <c r="I23" s="37" t="s">
        <v>98</v>
      </c>
      <c r="J23" s="3">
        <v>0.52</v>
      </c>
      <c r="K23" s="4">
        <v>0.45</v>
      </c>
      <c r="L23" s="4">
        <v>0.28000000000000003</v>
      </c>
      <c r="M23" s="33">
        <v>1936</v>
      </c>
      <c r="N23" s="4"/>
      <c r="O23" s="26"/>
      <c r="P23" s="15"/>
      <c r="Q23" s="37" t="s">
        <v>98</v>
      </c>
      <c r="R23" s="3">
        <v>0.61</v>
      </c>
      <c r="S23" s="4">
        <v>0.59</v>
      </c>
      <c r="T23" s="4">
        <v>0.56999999999999995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0.56999999999999995</v>
      </c>
      <c r="C27" s="2">
        <v>0.69</v>
      </c>
      <c r="D27" s="2">
        <v>0.63</v>
      </c>
      <c r="E27" s="32">
        <v>163</v>
      </c>
      <c r="F27" s="2" t="s">
        <v>280</v>
      </c>
      <c r="G27" s="5">
        <v>0.60641542506573098</v>
      </c>
      <c r="H27" s="15"/>
      <c r="I27" s="35">
        <v>0</v>
      </c>
      <c r="J27" s="1">
        <v>0.6</v>
      </c>
      <c r="K27" s="2">
        <v>0.67</v>
      </c>
      <c r="L27" s="2">
        <v>0.63</v>
      </c>
      <c r="M27" s="32">
        <v>932</v>
      </c>
      <c r="N27" s="2" t="s">
        <v>295</v>
      </c>
      <c r="O27" s="5">
        <v>0.63042679069131102</v>
      </c>
      <c r="P27" s="15"/>
      <c r="Q27" s="35">
        <v>0</v>
      </c>
      <c r="R27" s="1">
        <v>0.69</v>
      </c>
      <c r="S27" s="2">
        <v>0.53</v>
      </c>
      <c r="T27" s="2">
        <v>0.6</v>
      </c>
      <c r="U27" s="32">
        <v>810</v>
      </c>
      <c r="V27" s="2" t="s">
        <v>313</v>
      </c>
      <c r="W27" s="5">
        <v>0.67904380654819996</v>
      </c>
    </row>
    <row r="28" spans="1:23" ht="15" customHeight="1" x14ac:dyDescent="0.15">
      <c r="A28" s="36">
        <v>1</v>
      </c>
      <c r="B28" s="3">
        <v>0.64</v>
      </c>
      <c r="C28" s="4">
        <v>0.53</v>
      </c>
      <c r="D28" s="4">
        <v>0.57999999999999996</v>
      </c>
      <c r="E28" s="33">
        <v>175</v>
      </c>
      <c r="F28" s="4" t="s">
        <v>281</v>
      </c>
      <c r="G28" s="26"/>
      <c r="H28" s="15"/>
      <c r="I28" s="36">
        <v>1</v>
      </c>
      <c r="J28" s="3">
        <v>0.66</v>
      </c>
      <c r="K28" s="4">
        <v>0.6</v>
      </c>
      <c r="L28" s="4">
        <v>0.62</v>
      </c>
      <c r="M28" s="33">
        <v>1004</v>
      </c>
      <c r="N28" s="4" t="s">
        <v>296</v>
      </c>
      <c r="O28" s="26"/>
      <c r="P28" s="15"/>
      <c r="Q28" s="36">
        <v>1</v>
      </c>
      <c r="R28" s="3">
        <v>0.71</v>
      </c>
      <c r="S28" s="4">
        <v>0.83</v>
      </c>
      <c r="T28" s="4">
        <v>0.77</v>
      </c>
      <c r="U28" s="33">
        <v>1138</v>
      </c>
      <c r="V28" s="4" t="s">
        <v>314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0.61</v>
      </c>
      <c r="C30" s="4">
        <v>0.61</v>
      </c>
      <c r="D30" s="4">
        <v>0.6</v>
      </c>
      <c r="E30" s="33">
        <v>338</v>
      </c>
      <c r="F30" s="4"/>
      <c r="G30" s="26"/>
      <c r="H30" s="15"/>
      <c r="I30" s="37" t="s">
        <v>97</v>
      </c>
      <c r="J30" s="3">
        <v>0.63</v>
      </c>
      <c r="K30" s="4">
        <v>0.63</v>
      </c>
      <c r="L30" s="4">
        <v>0.63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0.68</v>
      </c>
      <c r="T30" s="4">
        <v>0.68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0.61</v>
      </c>
      <c r="C31" s="4">
        <v>0.6</v>
      </c>
      <c r="D31" s="4">
        <v>0.6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0.63</v>
      </c>
      <c r="M31" s="33">
        <v>1936</v>
      </c>
      <c r="N31" s="4"/>
      <c r="O31" s="26"/>
      <c r="P31" s="15"/>
      <c r="Q31" s="37" t="s">
        <v>98</v>
      </c>
      <c r="R31" s="3">
        <v>0.7</v>
      </c>
      <c r="S31" s="4">
        <v>0.7</v>
      </c>
      <c r="T31" s="4">
        <v>0.7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0.57999999999999996</v>
      </c>
      <c r="C35" s="2">
        <v>0.75</v>
      </c>
      <c r="D35" s="2">
        <v>0.66</v>
      </c>
      <c r="E35" s="32">
        <v>163</v>
      </c>
      <c r="F35" s="2" t="s">
        <v>231</v>
      </c>
      <c r="G35" s="5">
        <v>0.625872042068361</v>
      </c>
      <c r="H35" s="15"/>
      <c r="I35" s="35">
        <v>0</v>
      </c>
      <c r="J35" s="1">
        <v>0.59</v>
      </c>
      <c r="K35" s="2">
        <v>0.65</v>
      </c>
      <c r="L35" s="2">
        <v>0.62</v>
      </c>
      <c r="M35" s="32">
        <v>932</v>
      </c>
      <c r="N35" s="2" t="s">
        <v>297</v>
      </c>
      <c r="O35" s="5">
        <v>0.61939153258211699</v>
      </c>
      <c r="P35" s="15"/>
      <c r="Q35" s="35">
        <v>0</v>
      </c>
      <c r="R35" s="1">
        <v>0.63</v>
      </c>
      <c r="S35" s="2">
        <v>0.55000000000000004</v>
      </c>
      <c r="T35" s="2">
        <v>0.59</v>
      </c>
      <c r="U35" s="32">
        <v>810</v>
      </c>
      <c r="V35" s="2" t="s">
        <v>315</v>
      </c>
      <c r="W35" s="5">
        <v>0.65878192193365004</v>
      </c>
    </row>
    <row r="36" spans="1:23" ht="15" customHeight="1" x14ac:dyDescent="0.15">
      <c r="A36" s="36">
        <v>1</v>
      </c>
      <c r="B36" s="3">
        <v>0.69</v>
      </c>
      <c r="C36" s="4">
        <v>0.5</v>
      </c>
      <c r="D36" s="4">
        <v>0.57999999999999996</v>
      </c>
      <c r="E36" s="33">
        <v>175</v>
      </c>
      <c r="F36" s="4" t="s">
        <v>282</v>
      </c>
      <c r="G36" s="26"/>
      <c r="H36" s="15"/>
      <c r="I36" s="36">
        <v>1</v>
      </c>
      <c r="J36" s="3">
        <v>0.64</v>
      </c>
      <c r="K36" s="4">
        <v>0.59</v>
      </c>
      <c r="L36" s="4">
        <v>0.62</v>
      </c>
      <c r="M36" s="33">
        <v>1004</v>
      </c>
      <c r="N36" s="4" t="s">
        <v>298</v>
      </c>
      <c r="O36" s="26"/>
      <c r="P36" s="15"/>
      <c r="Q36" s="36">
        <v>1</v>
      </c>
      <c r="R36" s="3">
        <v>0.7</v>
      </c>
      <c r="S36" s="4">
        <v>0.77</v>
      </c>
      <c r="T36" s="4">
        <v>0.74</v>
      </c>
      <c r="U36" s="33">
        <v>1138</v>
      </c>
      <c r="V36" s="4" t="s">
        <v>316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0.62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0.63</v>
      </c>
      <c r="C38" s="4">
        <v>0.63</v>
      </c>
      <c r="D38" s="4">
        <v>0.62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0.66</v>
      </c>
      <c r="T38" s="4">
        <v>0.66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0.64</v>
      </c>
      <c r="C39" s="4">
        <v>0.62</v>
      </c>
      <c r="D39" s="4">
        <v>0.62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0.67</v>
      </c>
      <c r="S39" s="4">
        <v>0.68</v>
      </c>
      <c r="T39" s="4">
        <v>0.67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0.46</v>
      </c>
      <c r="C43" s="2">
        <v>0.36</v>
      </c>
      <c r="D43" s="2">
        <v>0.4</v>
      </c>
      <c r="E43" s="32">
        <v>163</v>
      </c>
      <c r="F43" s="2" t="s">
        <v>283</v>
      </c>
      <c r="G43" s="5">
        <v>0.48077125328658998</v>
      </c>
      <c r="H43" s="15"/>
      <c r="I43" s="35">
        <v>0</v>
      </c>
      <c r="J43" s="1">
        <v>0.56999999999999995</v>
      </c>
      <c r="K43" s="2">
        <v>0.05</v>
      </c>
      <c r="L43" s="2">
        <v>0.09</v>
      </c>
      <c r="M43" s="32">
        <v>932</v>
      </c>
      <c r="N43" s="2" t="s">
        <v>299</v>
      </c>
      <c r="O43" s="5">
        <v>0.50774584067164796</v>
      </c>
      <c r="P43" s="15"/>
      <c r="Q43" s="35">
        <v>0</v>
      </c>
      <c r="R43" s="1">
        <v>0.57999999999999996</v>
      </c>
      <c r="S43" s="2">
        <v>0.3</v>
      </c>
      <c r="T43" s="2">
        <v>0.39</v>
      </c>
      <c r="U43" s="32">
        <v>810</v>
      </c>
      <c r="V43" s="2" t="s">
        <v>317</v>
      </c>
      <c r="W43" s="5">
        <v>0.57231551997222696</v>
      </c>
    </row>
    <row r="44" spans="1:23" ht="15" customHeight="1" x14ac:dyDescent="0.15">
      <c r="A44" s="36">
        <v>1</v>
      </c>
      <c r="B44" s="3">
        <v>0.5</v>
      </c>
      <c r="C44" s="4">
        <v>0.61</v>
      </c>
      <c r="D44" s="4">
        <v>0.55000000000000004</v>
      </c>
      <c r="E44" s="33">
        <v>175</v>
      </c>
      <c r="F44" s="4" t="s">
        <v>284</v>
      </c>
      <c r="G44" s="26"/>
      <c r="H44" s="15"/>
      <c r="I44" s="36">
        <v>1</v>
      </c>
      <c r="J44" s="3">
        <v>0.52</v>
      </c>
      <c r="K44" s="4">
        <v>0.97</v>
      </c>
      <c r="L44" s="4">
        <v>0.68</v>
      </c>
      <c r="M44" s="33">
        <v>1004</v>
      </c>
      <c r="N44" s="4" t="s">
        <v>300</v>
      </c>
      <c r="O44" s="26"/>
      <c r="P44" s="15"/>
      <c r="Q44" s="36">
        <v>1</v>
      </c>
      <c r="R44" s="3">
        <v>0.63</v>
      </c>
      <c r="S44" s="4">
        <v>0.85</v>
      </c>
      <c r="T44" s="4">
        <v>0.72</v>
      </c>
      <c r="U44" s="33">
        <v>1138</v>
      </c>
      <c r="V44" s="4" t="s">
        <v>318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0.49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0.52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0.62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0.48</v>
      </c>
      <c r="C46" s="4">
        <v>0.48</v>
      </c>
      <c r="D46" s="4">
        <v>0.47</v>
      </c>
      <c r="E46" s="33">
        <v>338</v>
      </c>
      <c r="F46" s="4"/>
      <c r="G46" s="26"/>
      <c r="H46" s="15"/>
      <c r="I46" s="37" t="s">
        <v>97</v>
      </c>
      <c r="J46" s="3">
        <v>0.55000000000000004</v>
      </c>
      <c r="K46" s="4">
        <v>0.51</v>
      </c>
      <c r="L46" s="4">
        <v>0.38</v>
      </c>
      <c r="M46" s="33">
        <v>1936</v>
      </c>
      <c r="N46" s="4"/>
      <c r="O46" s="26"/>
      <c r="P46" s="15"/>
      <c r="Q46" s="37" t="s">
        <v>97</v>
      </c>
      <c r="R46" s="3">
        <v>0.6</v>
      </c>
      <c r="S46" s="4">
        <v>0.56999999999999995</v>
      </c>
      <c r="T46" s="4">
        <v>0.56000000000000005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0.48</v>
      </c>
      <c r="C47" s="4">
        <v>0.49</v>
      </c>
      <c r="D47" s="4">
        <v>0.48</v>
      </c>
      <c r="E47" s="33">
        <v>338</v>
      </c>
      <c r="F47" s="4"/>
      <c r="G47" s="26"/>
      <c r="H47" s="15"/>
      <c r="I47" s="37" t="s">
        <v>98</v>
      </c>
      <c r="J47" s="3">
        <v>0.55000000000000004</v>
      </c>
      <c r="K47" s="4">
        <v>0.52</v>
      </c>
      <c r="L47" s="4">
        <v>0.4</v>
      </c>
      <c r="M47" s="33">
        <v>1936</v>
      </c>
      <c r="N47" s="4"/>
      <c r="O47" s="26"/>
      <c r="P47" s="15"/>
      <c r="Q47" s="37" t="s">
        <v>98</v>
      </c>
      <c r="R47" s="3">
        <v>0.61</v>
      </c>
      <c r="S47" s="4">
        <v>0.62</v>
      </c>
      <c r="T47" s="4">
        <v>0.59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0.64</v>
      </c>
      <c r="C51" s="2">
        <v>0.39</v>
      </c>
      <c r="D51" s="2">
        <v>0.48</v>
      </c>
      <c r="E51" s="32">
        <v>163</v>
      </c>
      <c r="F51" s="2" t="s">
        <v>236</v>
      </c>
      <c r="G51" s="5">
        <v>0.59039439088518797</v>
      </c>
      <c r="H51" s="15"/>
      <c r="I51" s="35">
        <v>0</v>
      </c>
      <c r="J51" s="1">
        <v>0.67</v>
      </c>
      <c r="K51" s="2">
        <v>0.28000000000000003</v>
      </c>
      <c r="L51" s="2">
        <v>0.4</v>
      </c>
      <c r="M51" s="32">
        <v>915</v>
      </c>
      <c r="N51" s="2" t="s">
        <v>301</v>
      </c>
      <c r="O51" s="5">
        <v>0.57835669519329003</v>
      </c>
      <c r="P51" s="15"/>
      <c r="Q51" s="35">
        <v>0</v>
      </c>
      <c r="R51" s="1">
        <v>0.67</v>
      </c>
      <c r="S51" s="2">
        <v>0.34</v>
      </c>
      <c r="T51" s="2">
        <v>0.45</v>
      </c>
      <c r="U51" s="32">
        <v>881</v>
      </c>
      <c r="V51" s="2" t="s">
        <v>319</v>
      </c>
      <c r="W51" s="5">
        <v>0.60051200657002402</v>
      </c>
    </row>
    <row r="52" spans="1:23" ht="15" customHeight="1" x14ac:dyDescent="0.15">
      <c r="A52" s="36">
        <v>1</v>
      </c>
      <c r="B52" s="3">
        <v>0.57999999999999996</v>
      </c>
      <c r="C52" s="4">
        <v>0.79</v>
      </c>
      <c r="D52" s="4">
        <v>0.67</v>
      </c>
      <c r="E52" s="33">
        <v>175</v>
      </c>
      <c r="F52" s="4" t="s">
        <v>285</v>
      </c>
      <c r="G52" s="26"/>
      <c r="H52" s="15"/>
      <c r="I52" s="36">
        <v>1</v>
      </c>
      <c r="J52" s="3">
        <v>0.57999999999999996</v>
      </c>
      <c r="K52" s="4">
        <v>0.87</v>
      </c>
      <c r="L52" s="4">
        <v>0.69</v>
      </c>
      <c r="M52" s="33">
        <v>1021</v>
      </c>
      <c r="N52" s="4" t="s">
        <v>302</v>
      </c>
      <c r="O52" s="26"/>
      <c r="P52" s="15"/>
      <c r="Q52" s="36">
        <v>1</v>
      </c>
      <c r="R52" s="3">
        <v>0.61</v>
      </c>
      <c r="S52" s="4">
        <v>0.87</v>
      </c>
      <c r="T52" s="4">
        <v>0.72</v>
      </c>
      <c r="U52" s="33">
        <v>1067</v>
      </c>
      <c r="V52" s="4" t="s">
        <v>320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0.6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0.63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0.61</v>
      </c>
      <c r="C54" s="4">
        <v>0.59</v>
      </c>
      <c r="D54" s="4">
        <v>0.57999999999999996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0.57999999999999996</v>
      </c>
      <c r="L54" s="4">
        <v>0.55000000000000004</v>
      </c>
      <c r="M54" s="33">
        <v>1936</v>
      </c>
      <c r="N54" s="4"/>
      <c r="O54" s="26"/>
      <c r="P54" s="15"/>
      <c r="Q54" s="37" t="s">
        <v>97</v>
      </c>
      <c r="R54" s="3">
        <v>0.64</v>
      </c>
      <c r="S54" s="4">
        <v>0.6</v>
      </c>
      <c r="T54" s="4">
        <v>0.57999999999999996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0.61</v>
      </c>
      <c r="C55" s="4">
        <v>0.6</v>
      </c>
      <c r="D55" s="4">
        <v>0.57999999999999996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0.59</v>
      </c>
      <c r="L55" s="4">
        <v>0.55000000000000004</v>
      </c>
      <c r="M55" s="33">
        <v>1936</v>
      </c>
      <c r="N55" s="4"/>
      <c r="O55" s="26"/>
      <c r="P55" s="15"/>
      <c r="Q55" s="37" t="s">
        <v>98</v>
      </c>
      <c r="R55" s="3">
        <v>0.64</v>
      </c>
      <c r="S55" s="4">
        <v>0.63</v>
      </c>
      <c r="T55" s="4">
        <v>0.6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0.61</v>
      </c>
      <c r="C59" s="2">
        <v>0.56999999999999995</v>
      </c>
      <c r="D59" s="2">
        <v>0.59</v>
      </c>
      <c r="E59" s="32">
        <v>163</v>
      </c>
      <c r="F59" s="2" t="s">
        <v>286</v>
      </c>
      <c r="G59" s="5">
        <v>0.61384750219105999</v>
      </c>
      <c r="H59" s="15"/>
      <c r="I59" s="35">
        <v>0</v>
      </c>
      <c r="J59" s="1">
        <v>0.59</v>
      </c>
      <c r="K59" s="2">
        <v>0.42</v>
      </c>
      <c r="L59" s="2">
        <v>0.49</v>
      </c>
      <c r="M59" s="32">
        <v>915</v>
      </c>
      <c r="N59" s="2" t="s">
        <v>303</v>
      </c>
      <c r="O59" s="5">
        <v>0.58011806704024205</v>
      </c>
      <c r="P59" s="15"/>
      <c r="Q59" s="35">
        <v>0</v>
      </c>
      <c r="R59" s="1">
        <v>0.64</v>
      </c>
      <c r="S59" s="2">
        <v>0.38</v>
      </c>
      <c r="T59" s="2">
        <v>0.48</v>
      </c>
      <c r="U59" s="32">
        <v>881</v>
      </c>
      <c r="V59" s="2" t="s">
        <v>321</v>
      </c>
      <c r="W59" s="5">
        <v>0.60138698143776703</v>
      </c>
    </row>
    <row r="60" spans="1:23" ht="15" customHeight="1" x14ac:dyDescent="0.15">
      <c r="A60" s="36">
        <v>1</v>
      </c>
      <c r="B60" s="3">
        <v>0.62</v>
      </c>
      <c r="C60" s="4">
        <v>0.66</v>
      </c>
      <c r="D60" s="4">
        <v>0.64</v>
      </c>
      <c r="E60" s="33">
        <v>175</v>
      </c>
      <c r="F60" s="4" t="s">
        <v>287</v>
      </c>
      <c r="G60" s="26"/>
      <c r="H60" s="15"/>
      <c r="I60" s="36">
        <v>1</v>
      </c>
      <c r="J60" s="3">
        <v>0.59</v>
      </c>
      <c r="K60" s="4">
        <v>0.74</v>
      </c>
      <c r="L60" s="4">
        <v>0.65</v>
      </c>
      <c r="M60" s="33">
        <v>1021</v>
      </c>
      <c r="N60" s="4" t="s">
        <v>304</v>
      </c>
      <c r="O60" s="26"/>
      <c r="P60" s="15"/>
      <c r="Q60" s="36">
        <v>1</v>
      </c>
      <c r="R60" s="3">
        <v>0.62</v>
      </c>
      <c r="S60" s="4">
        <v>0.82</v>
      </c>
      <c r="T60" s="4">
        <v>0.7</v>
      </c>
      <c r="U60" s="33">
        <v>1067</v>
      </c>
      <c r="V60" s="4" t="s">
        <v>322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0.62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0.59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0.62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0.61</v>
      </c>
      <c r="C62" s="4">
        <v>0.61</v>
      </c>
      <c r="D62" s="4">
        <v>0.61</v>
      </c>
      <c r="E62" s="33">
        <v>338</v>
      </c>
      <c r="F62" s="4"/>
      <c r="G62" s="26"/>
      <c r="H62" s="15"/>
      <c r="I62" s="37" t="s">
        <v>97</v>
      </c>
      <c r="J62" s="3">
        <v>0.59</v>
      </c>
      <c r="K62" s="4">
        <v>0.57999999999999996</v>
      </c>
      <c r="L62" s="4">
        <v>0.56999999999999995</v>
      </c>
      <c r="M62" s="33">
        <v>1936</v>
      </c>
      <c r="N62" s="4"/>
      <c r="O62" s="26"/>
      <c r="P62" s="15"/>
      <c r="Q62" s="37" t="s">
        <v>97</v>
      </c>
      <c r="R62" s="3">
        <v>0.63</v>
      </c>
      <c r="S62" s="4">
        <v>0.6</v>
      </c>
      <c r="T62" s="4">
        <v>0.59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0.61</v>
      </c>
      <c r="C63" s="4">
        <v>0.62</v>
      </c>
      <c r="D63" s="4">
        <v>0.61</v>
      </c>
      <c r="E63" s="33">
        <v>338</v>
      </c>
      <c r="F63" s="4"/>
      <c r="G63" s="26"/>
      <c r="H63" s="15"/>
      <c r="I63" s="37" t="s">
        <v>98</v>
      </c>
      <c r="J63" s="3">
        <v>0.59</v>
      </c>
      <c r="K63" s="4">
        <v>0.59</v>
      </c>
      <c r="L63" s="4">
        <v>0.57999999999999996</v>
      </c>
      <c r="M63" s="33">
        <v>1936</v>
      </c>
      <c r="N63" s="4"/>
      <c r="O63" s="26"/>
      <c r="P63" s="15"/>
      <c r="Q63" s="37" t="s">
        <v>98</v>
      </c>
      <c r="R63" s="3">
        <v>0.63</v>
      </c>
      <c r="S63" s="4">
        <v>0.62</v>
      </c>
      <c r="T63" s="4">
        <v>0.6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0.57999999999999996</v>
      </c>
      <c r="C67" s="2">
        <v>0.3</v>
      </c>
      <c r="D67" s="2">
        <v>0.4</v>
      </c>
      <c r="E67" s="32">
        <v>163</v>
      </c>
      <c r="F67" s="2" t="s">
        <v>288</v>
      </c>
      <c r="G67" s="5">
        <v>0.55030674846625705</v>
      </c>
      <c r="H67" s="15"/>
      <c r="I67" s="35">
        <v>0</v>
      </c>
      <c r="J67" s="1">
        <v>0.62</v>
      </c>
      <c r="K67" s="2">
        <v>0.22</v>
      </c>
      <c r="L67" s="2">
        <v>0.32</v>
      </c>
      <c r="M67" s="32">
        <v>915</v>
      </c>
      <c r="N67" s="2" t="s">
        <v>305</v>
      </c>
      <c r="O67" s="5">
        <v>0.54850810573583098</v>
      </c>
      <c r="P67" s="15"/>
      <c r="Q67" s="35">
        <v>0</v>
      </c>
      <c r="R67" s="1">
        <v>0.57999999999999996</v>
      </c>
      <c r="S67" s="2">
        <v>0.48</v>
      </c>
      <c r="T67" s="2">
        <v>0.53</v>
      </c>
      <c r="U67" s="32">
        <v>881</v>
      </c>
      <c r="V67" s="2" t="s">
        <v>323</v>
      </c>
      <c r="W67" s="5">
        <v>0.59453026349243099</v>
      </c>
    </row>
    <row r="68" spans="1:23" ht="15" customHeight="1" x14ac:dyDescent="0.15">
      <c r="A68" s="36">
        <v>1</v>
      </c>
      <c r="B68" s="3">
        <v>0.55000000000000004</v>
      </c>
      <c r="C68" s="4">
        <v>0.8</v>
      </c>
      <c r="D68" s="4">
        <v>0.65</v>
      </c>
      <c r="E68" s="33">
        <v>175</v>
      </c>
      <c r="F68" s="4" t="s">
        <v>237</v>
      </c>
      <c r="G68" s="26"/>
      <c r="H68" s="15"/>
      <c r="I68" s="36">
        <v>1</v>
      </c>
      <c r="J68" s="3">
        <v>0.56000000000000005</v>
      </c>
      <c r="K68" s="4">
        <v>0.88</v>
      </c>
      <c r="L68" s="4">
        <v>0.68</v>
      </c>
      <c r="M68" s="33">
        <v>1021</v>
      </c>
      <c r="N68" s="4" t="s">
        <v>306</v>
      </c>
      <c r="O68" s="26"/>
      <c r="P68" s="15"/>
      <c r="Q68" s="36">
        <v>1</v>
      </c>
      <c r="R68" s="3">
        <v>0.62</v>
      </c>
      <c r="S68" s="4">
        <v>0.71</v>
      </c>
      <c r="T68" s="4">
        <v>0.66</v>
      </c>
      <c r="U68" s="33">
        <v>1067</v>
      </c>
      <c r="V68" s="4" t="s">
        <v>324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0.56000000000000005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0.56999999999999995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0.61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0.56999999999999995</v>
      </c>
      <c r="C70" s="4">
        <v>0.55000000000000004</v>
      </c>
      <c r="D70" s="4">
        <v>0.52</v>
      </c>
      <c r="E70" s="33">
        <v>338</v>
      </c>
      <c r="F70" s="4"/>
      <c r="G70" s="26"/>
      <c r="H70" s="15"/>
      <c r="I70" s="37" t="s">
        <v>97</v>
      </c>
      <c r="J70" s="3">
        <v>0.59</v>
      </c>
      <c r="K70" s="4">
        <v>0.55000000000000004</v>
      </c>
      <c r="L70" s="4">
        <v>0.5</v>
      </c>
      <c r="M70" s="33">
        <v>1936</v>
      </c>
      <c r="N70" s="4"/>
      <c r="O70" s="26"/>
      <c r="P70" s="15"/>
      <c r="Q70" s="37" t="s">
        <v>97</v>
      </c>
      <c r="R70" s="3">
        <v>0.6</v>
      </c>
      <c r="S70" s="4">
        <v>0.59</v>
      </c>
      <c r="T70" s="4">
        <v>0.59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0.56999999999999995</v>
      </c>
      <c r="C71" s="4">
        <v>0.56000000000000005</v>
      </c>
      <c r="D71" s="4">
        <v>0.53</v>
      </c>
      <c r="E71" s="33">
        <v>338</v>
      </c>
      <c r="F71" s="4"/>
      <c r="G71" s="26"/>
      <c r="H71" s="20"/>
      <c r="I71" s="37" t="s">
        <v>98</v>
      </c>
      <c r="J71" s="3">
        <v>0.59</v>
      </c>
      <c r="K71" s="4">
        <v>0.56999999999999995</v>
      </c>
      <c r="L71" s="4">
        <v>0.51</v>
      </c>
      <c r="M71" s="33">
        <v>1936</v>
      </c>
      <c r="N71" s="4"/>
      <c r="O71" s="26"/>
      <c r="P71" s="20"/>
      <c r="Q71" s="37" t="s">
        <v>98</v>
      </c>
      <c r="R71" s="3">
        <v>0.6</v>
      </c>
      <c r="S71" s="4">
        <v>0.61</v>
      </c>
      <c r="T71" s="4">
        <v>0.6</v>
      </c>
      <c r="U71" s="33">
        <v>1948</v>
      </c>
      <c r="V71" s="4"/>
      <c r="W71" s="26"/>
    </row>
  </sheetData>
  <mergeCells count="27">
    <mergeCell ref="A49:G49"/>
    <mergeCell ref="I49:O49"/>
    <mergeCell ref="I65:O65"/>
    <mergeCell ref="Q65:W65"/>
    <mergeCell ref="Q49:W49"/>
    <mergeCell ref="A57:G57"/>
    <mergeCell ref="I57:O57"/>
    <mergeCell ref="Q57:W57"/>
    <mergeCell ref="A65:G65"/>
    <mergeCell ref="A33:G33"/>
    <mergeCell ref="I33:O33"/>
    <mergeCell ref="Q33:W33"/>
    <mergeCell ref="A41:G41"/>
    <mergeCell ref="I41:O41"/>
    <mergeCell ref="Q41:W41"/>
    <mergeCell ref="A17:G17"/>
    <mergeCell ref="I17:O17"/>
    <mergeCell ref="Q17:W17"/>
    <mergeCell ref="A25:G25"/>
    <mergeCell ref="I25:O25"/>
    <mergeCell ref="Q25:W25"/>
    <mergeCell ref="A1:G1"/>
    <mergeCell ref="I1:O1"/>
    <mergeCell ref="Q1:W1"/>
    <mergeCell ref="A9:G9"/>
    <mergeCell ref="I9:O9"/>
    <mergeCell ref="Q9:W9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97262-45A5-6947-B8CB-FFC71DF7F323}">
  <dimension ref="A1:G25"/>
  <sheetViews>
    <sheetView zoomScale="91" workbookViewId="0">
      <selection activeCell="B3" sqref="B3"/>
    </sheetView>
  </sheetViews>
  <sheetFormatPr baseColWidth="10" defaultRowHeight="13" x14ac:dyDescent="0.15"/>
  <cols>
    <col min="2" max="2" width="21.6640625" style="27" customWidth="1"/>
    <col min="3" max="3" width="21.1640625" customWidth="1"/>
    <col min="4" max="6" width="21.6640625" customWidth="1"/>
    <col min="7" max="7" width="21" customWidth="1"/>
  </cols>
  <sheetData>
    <row r="1" spans="1:7" ht="14" x14ac:dyDescent="0.15">
      <c r="A1" s="6" t="s">
        <v>39</v>
      </c>
      <c r="B1" s="45" t="s">
        <v>33</v>
      </c>
      <c r="C1" s="45"/>
      <c r="D1" s="45" t="s">
        <v>34</v>
      </c>
      <c r="E1" s="45"/>
      <c r="F1" s="45" t="s">
        <v>35</v>
      </c>
      <c r="G1" s="45"/>
    </row>
    <row r="2" spans="1:7" ht="14" customHeight="1" x14ac:dyDescent="0.15">
      <c r="A2" s="9" t="s">
        <v>36</v>
      </c>
      <c r="B2" s="39">
        <f>MAX('zero (1998-2023)'!G3,'zero (1998-2023)'!G11,'zero (1998-2023)'!G19,'mean (1998-2023)'!G3,'mean (1998-2023)'!G11,'mean (1998-2023)'!G19,'median (1998-2023)'!G3,'median (1998-2023)'!G11,'median (1998-2023)'!G19)</f>
        <v>0.643050799086758</v>
      </c>
      <c r="C2" s="9" t="s">
        <v>168</v>
      </c>
      <c r="D2" s="39">
        <f>MAX('zero (1998-2023)'!G27,'zero (1998-2023)'!G35,'zero (1998-2023)'!G43,'mean (1998-2023)'!G27,'mean (1998-2023)'!G35,'mean (1998-2023)'!G43,'median (1998-2023)'!G27,'median (1998-2023)'!G35,'median (1998-2023)'!G43)</f>
        <v>0.64872918492550302</v>
      </c>
      <c r="E2" s="9" t="s">
        <v>170</v>
      </c>
      <c r="F2" s="39">
        <f>MAX('zero (1998-2023)'!G51,'zero (1998-2023)'!G59,'zero (1998-2023)'!G67,'mean (1998-2023)'!G51,'mean (1998-2023)'!G59,'mean (1998-2023)'!G66,'median (1998-2023)'!G51,'median (1998-2023)'!G59,'median (1998-2023)'!G67)</f>
        <v>0.61821209465381199</v>
      </c>
      <c r="G2" s="9" t="s">
        <v>168</v>
      </c>
    </row>
    <row r="3" spans="1:7" ht="14" x14ac:dyDescent="0.15">
      <c r="A3" s="9" t="s">
        <v>37</v>
      </c>
      <c r="B3" s="39">
        <f>MAX('zero (1998-2023)'!O3,'zero (1998-2023)'!O11,'zero (1998-2023)'!O19,'mean (1998-2023)'!O3,'mean (1998-2023)'!O11,'mean (1998-2023)'!O19,'median (1998-2023)'!O3,'median (1998-2023)'!O11,'median (1998-2023)'!O19)</f>
        <v>0.63620861070286105</v>
      </c>
      <c r="C3" s="9" t="s">
        <v>325</v>
      </c>
      <c r="D3" s="39">
        <f>MAX('zero (1998-2023)'!O27,'zero (1998-2023)'!O35,'zero (1998-2023)'!O43,'mean (1998-2023)'!O27,'mean (1998-2023)'!O35,'mean (1998-2023)'!O43,'median (1998-2023)'!O27,'median (1998-2023)'!O35,'median (1998-2023)'!O43)</f>
        <v>0.63042679069131102</v>
      </c>
      <c r="E3" s="9" t="s">
        <v>326</v>
      </c>
      <c r="F3" s="39">
        <f>MAX('zero (1998-2023)'!O51,'zero (1998-2023)'!O59,'zero (1998-2023)'!O67,'mean (1998-2023)'!O51,'mean (1998-2023)'!O59,'mean (1998-2023)'!O66,'median (1998-2023)'!O51,'median (1998-2023)'!O59,'median (1998-2023)'!O67)</f>
        <v>0.59217578394695003</v>
      </c>
      <c r="G3" s="9" t="s">
        <v>169</v>
      </c>
    </row>
    <row r="4" spans="1:7" ht="14" x14ac:dyDescent="0.15">
      <c r="A4" s="9" t="s">
        <v>38</v>
      </c>
      <c r="B4" s="39">
        <f>MAX('zero (1998-2023)'!W3,'zero (1998-2023)'!W11,'zero (1998-2023)'!W19,'mean (1998-2023)'!W3,'mean (1998-2023)'!W11,'mean (1998-2023)'!W19,'median (1998-2023)'!W3,'median (1998-2023)'!W11,'median (1998-2023)'!W19)</f>
        <v>0.67374252377683996</v>
      </c>
      <c r="C4" s="9" t="s">
        <v>170</v>
      </c>
      <c r="D4" s="39">
        <f>MAX('zero (1998-2023)'!W27,'zero (1998-2023)'!W35,'zero (1998-2023)'!W43,'mean (1998-2023)'!W27,'mean (1998-2023)'!W35,'mean (1998-2023)'!W43,'median (1998-2023)'!W27,'median (1998-2023)'!W35,'median (1998-2023)'!W43)</f>
        <v>0.68553717213826604</v>
      </c>
      <c r="E4" s="9" t="s">
        <v>168</v>
      </c>
      <c r="F4" s="39">
        <f>MAX('zero (1998-2023)'!W51,'zero (1998-2023)'!W59,'zero (1998-2023)'!W67,'mean (1998-2023)'!W51,'mean (1998-2023)'!W59,'mean (1998-2023)'!W66,'median (1998-2023)'!W51,'median (1998-2023)'!W59,'median (1998-2023)'!W67)</f>
        <v>0.60870219685179205</v>
      </c>
      <c r="G4" s="9" t="s">
        <v>170</v>
      </c>
    </row>
    <row r="6" spans="1:7" ht="14" x14ac:dyDescent="0.15">
      <c r="A6" s="6" t="s">
        <v>40</v>
      </c>
      <c r="B6" s="45" t="s">
        <v>33</v>
      </c>
      <c r="C6" s="45"/>
      <c r="D6" s="45" t="s">
        <v>34</v>
      </c>
      <c r="E6" s="45"/>
      <c r="F6" s="45" t="s">
        <v>35</v>
      </c>
      <c r="G6" s="45"/>
    </row>
    <row r="7" spans="1:7" ht="14" x14ac:dyDescent="0.15">
      <c r="A7" s="9" t="s">
        <v>36</v>
      </c>
      <c r="B7" s="8">
        <f>MAX('zero (1998-2023)'!D5,'zero (1998-2023)'!D13,'zero (1998-2023)'!D21,'mean (1998-2023)'!D5,'mean (1998-2023)'!D13,'mean (1998-2023)'!D21,'median (1998-2023)'!D5,'median (1998-2023)'!D13,'median (1998-2023)'!D21)</f>
        <v>0.65</v>
      </c>
      <c r="C7" s="9" t="s">
        <v>327</v>
      </c>
      <c r="D7" s="8">
        <f>MAX('zero (1998-2023)'!D29,'zero (1998-2023)'!D37,'zero (1998-2023)'!D45,'mean (1998-2023)'!D29,'mean (1998-2023)'!D37,'mean (1998-2023)'!D45,'median (1998-2023)'!D29,'median (1998-2023)'!D37,'median (1998-2023)'!D45)</f>
        <v>0.64</v>
      </c>
      <c r="E7" s="9" t="s">
        <v>329</v>
      </c>
      <c r="F7" s="8">
        <f>MAX('zero (1998-2023)'!D53,'zero (1998-2023)'!D61,'zero (1998-2023)'!D69,'mean (1998-2023)'!D53,'mean (1998-2023)'!D61,'mean (1998-2023)'!D69,'median (1998-2023)'!D53,'median (1998-2023)'!D61,'median (1998-2023)'!D69)</f>
        <v>0.62</v>
      </c>
      <c r="G7" s="9" t="s">
        <v>331</v>
      </c>
    </row>
    <row r="8" spans="1:7" ht="28" x14ac:dyDescent="0.15">
      <c r="A8" s="9" t="s">
        <v>37</v>
      </c>
      <c r="B8" s="8">
        <f>MAX('zero (1998-2023)'!L5,'zero (1998-2023)'!L13,'zero (1998-2023)'!L21,'mean (1998-2023)'!L5,'mean (1998-2023)'!L13,'mean (1998-2023)'!L21,'median (1998-2023)'!L5,'median (1998-2023)'!L13,'median (1998-2023)'!L21)</f>
        <v>0.64</v>
      </c>
      <c r="C8" s="9" t="s">
        <v>328</v>
      </c>
      <c r="D8" s="8">
        <f>MAX('zero (1998-2023)'!L29,'zero (1998-2023)'!L37,'zero (1998-2023)'!L45,'mean (1998-2023)'!L29,'mean (1998-2023)'!L37,'mean (1998-2023)'!L45,'median (1998-2023)'!L29,'median (1998-2023)'!L37,'median (1998-2023)'!L45)</f>
        <v>0.63</v>
      </c>
      <c r="E8" s="9" t="s">
        <v>330</v>
      </c>
      <c r="F8" s="8">
        <f>MAX('zero (1998-2023)'!L53,'zero (1998-2023)'!L61,'zero (1998-2023)'!L69,'mean (1998-2023)'!L53,'mean (1998-2023)'!L61,'mean (1998-2023)'!L69,'median (1998-2023)'!L53,'median (1998-2023)'!L61,'median (1998-2023)'!L69)</f>
        <v>0.6</v>
      </c>
      <c r="G8" s="9" t="s">
        <v>169</v>
      </c>
    </row>
    <row r="9" spans="1:7" ht="28" x14ac:dyDescent="0.15">
      <c r="A9" s="9" t="s">
        <v>38</v>
      </c>
      <c r="B9" s="8">
        <f>MAX('zero (1998-2023)'!T5,'zero (1998-2023)'!T13,'zero (1998-2023)'!T21,'mean (1998-2023)'!T5,'mean (1998-2023)'!T13,'mean (1998-2023)'!T21,'median (1998-2023)'!T5,'median (1998-2023)'!T13,'median (1998-2023)'!T21)</f>
        <v>0.67</v>
      </c>
      <c r="C9" s="9" t="s">
        <v>99</v>
      </c>
      <c r="D9" s="8">
        <f>MAX('zero (1998-2023)'!T29,'zero (1998-2023)'!T37,'zero (1998-2023)'!T45,'mean (1998-2023)'!T29,'mean (1998-2023)'!T37,'mean (1998-2023)'!T45,'median (1998-2023)'!T29,'median (1998-2023)'!T37,'median (1998-2023)'!T45)</f>
        <v>0.71</v>
      </c>
      <c r="E9" s="9" t="s">
        <v>168</v>
      </c>
      <c r="F9" s="8">
        <f>MAX('zero (1998-2023)'!T53,'zero (1998-2023)'!T61,'zero (1998-2023)'!T69,'mean (1998-2023)'!T53,'mean (1998-2023)'!T61,'mean (1998-2023)'!T69,'median (1998-2023)'!T53,'median (1998-2023)'!T61,'median (1998-2023)'!T69)</f>
        <v>0.63</v>
      </c>
      <c r="G9" s="9" t="s">
        <v>99</v>
      </c>
    </row>
    <row r="12" spans="1:7" x14ac:dyDescent="0.15">
      <c r="B12"/>
    </row>
    <row r="13" spans="1:7" x14ac:dyDescent="0.15">
      <c r="B13"/>
    </row>
    <row r="14" spans="1:7" x14ac:dyDescent="0.15">
      <c r="B14"/>
    </row>
    <row r="15" spans="1:7" x14ac:dyDescent="0.15">
      <c r="B15"/>
    </row>
    <row r="16" spans="1:7" x14ac:dyDescent="0.15">
      <c r="B16"/>
    </row>
    <row r="17" customFormat="1" x14ac:dyDescent="0.15"/>
    <row r="18" customFormat="1" x14ac:dyDescent="0.15"/>
    <row r="19" customFormat="1" x14ac:dyDescent="0.15"/>
    <row r="20" customFormat="1" x14ac:dyDescent="0.15"/>
    <row r="21" customFormat="1" x14ac:dyDescent="0.15"/>
    <row r="22" customFormat="1" x14ac:dyDescent="0.15"/>
    <row r="23" customFormat="1" x14ac:dyDescent="0.15"/>
    <row r="24" customFormat="1" x14ac:dyDescent="0.15"/>
    <row r="25" customFormat="1" x14ac:dyDescent="0.15"/>
  </sheetData>
  <mergeCells count="6">
    <mergeCell ref="B1:C1"/>
    <mergeCell ref="D1:E1"/>
    <mergeCell ref="F1:G1"/>
    <mergeCell ref="B6:C6"/>
    <mergeCell ref="D6:E6"/>
    <mergeCell ref="F6:G6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7207-E4DF-AB41-9C89-1E69110D46D8}">
  <dimension ref="A1:W71"/>
  <sheetViews>
    <sheetView topLeftCell="O46" workbookViewId="0">
      <selection activeCell="G27" sqref="G27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0.68</v>
      </c>
      <c r="C3" s="16">
        <v>0.6</v>
      </c>
      <c r="D3" s="16">
        <v>0.64</v>
      </c>
      <c r="E3" s="29">
        <v>192</v>
      </c>
      <c r="F3" s="16" t="s">
        <v>358</v>
      </c>
      <c r="G3" s="23">
        <v>0.61715182648401801</v>
      </c>
      <c r="H3" s="15"/>
      <c r="I3" s="35">
        <v>0</v>
      </c>
      <c r="J3" s="10">
        <v>0.69</v>
      </c>
      <c r="K3" s="16">
        <v>0.62</v>
      </c>
      <c r="L3" s="16">
        <v>0.65</v>
      </c>
      <c r="M3" s="29">
        <v>1075</v>
      </c>
      <c r="N3" s="16" t="s">
        <v>416</v>
      </c>
      <c r="O3" s="23">
        <v>0.63589822542743701</v>
      </c>
      <c r="P3" s="15"/>
      <c r="Q3" s="35">
        <v>0</v>
      </c>
      <c r="R3" s="10">
        <v>0.73</v>
      </c>
      <c r="S3" s="16">
        <v>0.54</v>
      </c>
      <c r="T3" s="16">
        <v>0.62</v>
      </c>
      <c r="U3" s="29">
        <v>987</v>
      </c>
      <c r="V3" s="16" t="s">
        <v>77</v>
      </c>
      <c r="W3" s="23">
        <v>0.66756755616985397</v>
      </c>
    </row>
    <row r="4" spans="1:23" ht="15" customHeight="1" x14ac:dyDescent="0.15">
      <c r="A4" s="36">
        <v>1</v>
      </c>
      <c r="B4" s="11">
        <v>0.55000000000000004</v>
      </c>
      <c r="C4" s="12">
        <v>0.63</v>
      </c>
      <c r="D4" s="12">
        <v>0.59</v>
      </c>
      <c r="E4" s="30">
        <v>146</v>
      </c>
      <c r="F4" s="12" t="s">
        <v>117</v>
      </c>
      <c r="G4" s="24"/>
      <c r="H4" s="15"/>
      <c r="I4" s="36">
        <v>1</v>
      </c>
      <c r="J4" s="11">
        <v>0.57999999999999996</v>
      </c>
      <c r="K4" s="12">
        <v>0.66</v>
      </c>
      <c r="L4" s="12">
        <v>0.61</v>
      </c>
      <c r="M4" s="30">
        <v>861</v>
      </c>
      <c r="N4" s="12" t="s">
        <v>417</v>
      </c>
      <c r="O4" s="24"/>
      <c r="P4" s="15"/>
      <c r="Q4" s="36">
        <v>1</v>
      </c>
      <c r="R4" s="11">
        <v>0.63</v>
      </c>
      <c r="S4" s="12">
        <v>0.8</v>
      </c>
      <c r="T4" s="12">
        <v>0.7</v>
      </c>
      <c r="U4" s="30">
        <v>961</v>
      </c>
      <c r="V4" s="12" t="s">
        <v>433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0.62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0.67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0.61</v>
      </c>
      <c r="C6" s="12">
        <v>0.62</v>
      </c>
      <c r="D6" s="12">
        <v>0.61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0.64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0.67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0.62</v>
      </c>
      <c r="C7" s="12">
        <v>0.62</v>
      </c>
      <c r="D7" s="12">
        <v>0.62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0.67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0.64</v>
      </c>
      <c r="C11" s="2">
        <v>0.73</v>
      </c>
      <c r="D11" s="2">
        <v>0.68</v>
      </c>
      <c r="E11" s="32">
        <v>192</v>
      </c>
      <c r="F11" s="19" t="s">
        <v>176</v>
      </c>
      <c r="G11" s="5">
        <v>0.59663955479452002</v>
      </c>
      <c r="H11" s="15"/>
      <c r="I11" s="35">
        <v>0</v>
      </c>
      <c r="J11" s="1">
        <v>0.67</v>
      </c>
      <c r="K11" s="2">
        <v>0.63</v>
      </c>
      <c r="L11" s="2">
        <v>0.65</v>
      </c>
      <c r="M11" s="32">
        <v>1075</v>
      </c>
      <c r="N11" s="19" t="s">
        <v>418</v>
      </c>
      <c r="O11" s="5">
        <v>0.61975906868703201</v>
      </c>
      <c r="P11" s="15"/>
      <c r="Q11" s="35">
        <v>0</v>
      </c>
      <c r="R11" s="1">
        <v>0.71</v>
      </c>
      <c r="S11" s="2">
        <v>0.57999999999999996</v>
      </c>
      <c r="T11" s="2">
        <v>0.64</v>
      </c>
      <c r="U11" s="32">
        <v>987</v>
      </c>
      <c r="V11" s="19" t="s">
        <v>434</v>
      </c>
      <c r="W11" s="5">
        <v>0.66648532904870394</v>
      </c>
    </row>
    <row r="12" spans="1:23" ht="15" customHeight="1" x14ac:dyDescent="0.15">
      <c r="A12" s="36">
        <v>1</v>
      </c>
      <c r="B12" s="3">
        <v>0.56999999999999995</v>
      </c>
      <c r="C12" s="4">
        <v>0.46</v>
      </c>
      <c r="D12" s="4">
        <v>0.51</v>
      </c>
      <c r="E12" s="33">
        <v>146</v>
      </c>
      <c r="F12" s="4" t="s">
        <v>346</v>
      </c>
      <c r="G12" s="26"/>
      <c r="H12" s="15"/>
      <c r="I12" s="36">
        <v>1</v>
      </c>
      <c r="J12" s="3">
        <v>0.56999999999999995</v>
      </c>
      <c r="K12" s="4">
        <v>0.61</v>
      </c>
      <c r="L12" s="4">
        <v>0.59</v>
      </c>
      <c r="M12" s="33">
        <v>861</v>
      </c>
      <c r="N12" s="4" t="s">
        <v>419</v>
      </c>
      <c r="O12" s="26"/>
      <c r="P12" s="15"/>
      <c r="Q12" s="36">
        <v>1</v>
      </c>
      <c r="R12" s="3">
        <v>0.64</v>
      </c>
      <c r="S12" s="4">
        <v>0.76</v>
      </c>
      <c r="T12" s="4">
        <v>0.69</v>
      </c>
      <c r="U12" s="33">
        <v>961</v>
      </c>
      <c r="V12" s="4" t="s">
        <v>435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0.62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0.62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0.67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</v>
      </c>
      <c r="C14" s="4">
        <v>0.6</v>
      </c>
      <c r="D14" s="4">
        <v>0.6</v>
      </c>
      <c r="E14" s="33">
        <v>338</v>
      </c>
      <c r="F14" s="4"/>
      <c r="G14" s="26"/>
      <c r="H14" s="15"/>
      <c r="I14" s="37" t="s">
        <v>97</v>
      </c>
      <c r="J14" s="3">
        <v>0.62</v>
      </c>
      <c r="K14" s="4">
        <v>0.62</v>
      </c>
      <c r="L14" s="4">
        <v>0.62</v>
      </c>
      <c r="M14" s="33">
        <v>1936</v>
      </c>
      <c r="N14" s="4"/>
      <c r="O14" s="26"/>
      <c r="P14" s="15"/>
      <c r="Q14" s="37" t="s">
        <v>97</v>
      </c>
      <c r="R14" s="3">
        <v>0.67</v>
      </c>
      <c r="S14" s="4">
        <v>0.67</v>
      </c>
      <c r="T14" s="4">
        <v>0.66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0.61</v>
      </c>
      <c r="C15" s="4">
        <v>0.62</v>
      </c>
      <c r="D15" s="4">
        <v>0.61</v>
      </c>
      <c r="E15" s="33">
        <v>338</v>
      </c>
      <c r="F15" s="4"/>
      <c r="G15" s="26"/>
      <c r="H15" s="15"/>
      <c r="I15" s="37" t="s">
        <v>98</v>
      </c>
      <c r="J15" s="3">
        <v>0.62</v>
      </c>
      <c r="K15" s="4">
        <v>0.62</v>
      </c>
      <c r="L15" s="4">
        <v>0.62</v>
      </c>
      <c r="M15" s="33">
        <v>1936</v>
      </c>
      <c r="N15" s="4"/>
      <c r="O15" s="26"/>
      <c r="P15" s="15"/>
      <c r="Q15" s="37" t="s">
        <v>98</v>
      </c>
      <c r="R15" s="3">
        <v>0.67</v>
      </c>
      <c r="S15" s="4">
        <v>0.67</v>
      </c>
      <c r="T15" s="4">
        <v>0.66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0.69</v>
      </c>
      <c r="C19" s="2">
        <v>0.39</v>
      </c>
      <c r="D19" s="2">
        <v>0.49</v>
      </c>
      <c r="E19" s="32">
        <v>192</v>
      </c>
      <c r="F19" s="2" t="s">
        <v>359</v>
      </c>
      <c r="G19" s="5">
        <v>0.57626997716894901</v>
      </c>
      <c r="H19" s="15"/>
      <c r="I19" s="35">
        <v>0</v>
      </c>
      <c r="J19" s="1">
        <v>0.6</v>
      </c>
      <c r="K19" s="2">
        <v>0.88</v>
      </c>
      <c r="L19" s="2">
        <v>0.71</v>
      </c>
      <c r="M19" s="32">
        <v>1075</v>
      </c>
      <c r="N19" s="2" t="s">
        <v>420</v>
      </c>
      <c r="O19" s="5">
        <v>0.56903546444102304</v>
      </c>
      <c r="P19" s="15"/>
      <c r="Q19" s="35">
        <v>0</v>
      </c>
      <c r="R19" s="1">
        <v>0.63</v>
      </c>
      <c r="S19" s="2">
        <v>0.4</v>
      </c>
      <c r="T19" s="2">
        <v>0.49</v>
      </c>
      <c r="U19" s="32">
        <v>987</v>
      </c>
      <c r="V19" s="2" t="s">
        <v>436</v>
      </c>
      <c r="W19" s="5">
        <v>0.58147488632134503</v>
      </c>
    </row>
    <row r="20" spans="1:23" ht="15" customHeight="1" x14ac:dyDescent="0.15">
      <c r="A20" s="36">
        <v>1</v>
      </c>
      <c r="B20" s="3">
        <v>0.49</v>
      </c>
      <c r="C20" s="4">
        <v>0.77</v>
      </c>
      <c r="D20" s="4">
        <v>0.6</v>
      </c>
      <c r="E20" s="33">
        <v>146</v>
      </c>
      <c r="F20" s="4" t="s">
        <v>360</v>
      </c>
      <c r="G20" s="26"/>
      <c r="H20" s="15"/>
      <c r="I20" s="36">
        <v>1</v>
      </c>
      <c r="J20" s="3">
        <v>0.63</v>
      </c>
      <c r="K20" s="4">
        <v>0.26</v>
      </c>
      <c r="L20" s="4">
        <v>0.37</v>
      </c>
      <c r="M20" s="33">
        <v>861</v>
      </c>
      <c r="N20" s="4" t="s">
        <v>421</v>
      </c>
      <c r="O20" s="26"/>
      <c r="P20" s="15"/>
      <c r="Q20" s="36">
        <v>1</v>
      </c>
      <c r="R20" s="3">
        <v>0.55000000000000004</v>
      </c>
      <c r="S20" s="4">
        <v>0.76</v>
      </c>
      <c r="T20" s="4">
        <v>0.64</v>
      </c>
      <c r="U20" s="33">
        <v>961</v>
      </c>
      <c r="V20" s="4" t="s">
        <v>437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0.55000000000000004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0.6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0.57999999999999996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0.59</v>
      </c>
      <c r="C22" s="4">
        <v>0.57999999999999996</v>
      </c>
      <c r="D22" s="4">
        <v>0.54</v>
      </c>
      <c r="E22" s="33">
        <v>338</v>
      </c>
      <c r="F22" s="4"/>
      <c r="G22" s="26"/>
      <c r="H22" s="15"/>
      <c r="I22" s="37" t="s">
        <v>97</v>
      </c>
      <c r="J22" s="3">
        <v>0.61</v>
      </c>
      <c r="K22" s="4">
        <v>0.56999999999999995</v>
      </c>
      <c r="L22" s="4">
        <v>0.54</v>
      </c>
      <c r="M22" s="33">
        <v>1936</v>
      </c>
      <c r="N22" s="4"/>
      <c r="O22" s="26"/>
      <c r="P22" s="15"/>
      <c r="Q22" s="37" t="s">
        <v>97</v>
      </c>
      <c r="R22" s="3">
        <v>0.59</v>
      </c>
      <c r="S22" s="4">
        <v>0.57999999999999996</v>
      </c>
      <c r="T22" s="4">
        <v>0.56999999999999995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0.6</v>
      </c>
      <c r="C23" s="4">
        <v>0.55000000000000004</v>
      </c>
      <c r="D23" s="4">
        <v>0.54</v>
      </c>
      <c r="E23" s="33">
        <v>338</v>
      </c>
      <c r="F23" s="4"/>
      <c r="G23" s="26"/>
      <c r="H23" s="15"/>
      <c r="I23" s="37" t="s">
        <v>98</v>
      </c>
      <c r="J23" s="3">
        <v>0.61</v>
      </c>
      <c r="K23" s="4">
        <v>0.6</v>
      </c>
      <c r="L23" s="4">
        <v>0.56000000000000005</v>
      </c>
      <c r="M23" s="33">
        <v>1936</v>
      </c>
      <c r="N23" s="4"/>
      <c r="O23" s="26"/>
      <c r="P23" s="15"/>
      <c r="Q23" s="37" t="s">
        <v>98</v>
      </c>
      <c r="R23" s="3">
        <v>0.59</v>
      </c>
      <c r="S23" s="4">
        <v>0.57999999999999996</v>
      </c>
      <c r="T23" s="4">
        <v>0.56000000000000005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0.63</v>
      </c>
      <c r="C27" s="2">
        <v>0.69</v>
      </c>
      <c r="D27" s="2">
        <v>0.66</v>
      </c>
      <c r="E27" s="32">
        <v>163</v>
      </c>
      <c r="F27" s="2" t="s">
        <v>280</v>
      </c>
      <c r="G27" s="5">
        <v>0.65498685363716003</v>
      </c>
      <c r="H27" s="15"/>
      <c r="I27" s="35">
        <v>0</v>
      </c>
      <c r="J27" s="1">
        <v>0.61</v>
      </c>
      <c r="K27" s="2">
        <v>0.63</v>
      </c>
      <c r="L27" s="2">
        <v>0.62</v>
      </c>
      <c r="M27" s="32">
        <v>932</v>
      </c>
      <c r="N27" s="2" t="s">
        <v>422</v>
      </c>
      <c r="O27" s="5">
        <v>0.62873612844758298</v>
      </c>
      <c r="P27" s="15"/>
      <c r="Q27" s="35">
        <v>0</v>
      </c>
      <c r="R27" s="1">
        <v>0.69</v>
      </c>
      <c r="S27" s="2">
        <v>0.53</v>
      </c>
      <c r="T27" s="2">
        <v>0.6</v>
      </c>
      <c r="U27" s="32">
        <v>811</v>
      </c>
      <c r="V27" s="2" t="s">
        <v>438</v>
      </c>
      <c r="W27" s="5">
        <v>0.67996935279745097</v>
      </c>
    </row>
    <row r="28" spans="1:23" ht="15" customHeight="1" x14ac:dyDescent="0.15">
      <c r="A28" s="36">
        <v>1</v>
      </c>
      <c r="B28" s="3">
        <v>0.68</v>
      </c>
      <c r="C28" s="4">
        <v>0.62</v>
      </c>
      <c r="D28" s="4">
        <v>0.65</v>
      </c>
      <c r="E28" s="33">
        <v>175</v>
      </c>
      <c r="F28" s="4" t="s">
        <v>343</v>
      </c>
      <c r="G28" s="26"/>
      <c r="H28" s="15"/>
      <c r="I28" s="36">
        <v>1</v>
      </c>
      <c r="J28" s="3">
        <v>0.65</v>
      </c>
      <c r="K28" s="4">
        <v>0.63</v>
      </c>
      <c r="L28" s="4">
        <v>0.64</v>
      </c>
      <c r="M28" s="33">
        <v>1004</v>
      </c>
      <c r="N28" s="4" t="s">
        <v>423</v>
      </c>
      <c r="O28" s="26"/>
      <c r="P28" s="15"/>
      <c r="Q28" s="36">
        <v>1</v>
      </c>
      <c r="R28" s="3">
        <v>0.71</v>
      </c>
      <c r="S28" s="4">
        <v>0.83</v>
      </c>
      <c r="T28" s="4">
        <v>0.77</v>
      </c>
      <c r="U28" s="33">
        <v>1137</v>
      </c>
      <c r="V28" s="4" t="s">
        <v>439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0.65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0.66</v>
      </c>
      <c r="C30" s="4">
        <v>0.65</v>
      </c>
      <c r="D30" s="4">
        <v>0.65</v>
      </c>
      <c r="E30" s="33">
        <v>338</v>
      </c>
      <c r="F30" s="4"/>
      <c r="G30" s="26"/>
      <c r="H30" s="15"/>
      <c r="I30" s="37" t="s">
        <v>97</v>
      </c>
      <c r="J30" s="3">
        <v>0.63</v>
      </c>
      <c r="K30" s="4">
        <v>0.63</v>
      </c>
      <c r="L30" s="4">
        <v>0.63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0.68</v>
      </c>
      <c r="T30" s="4">
        <v>0.68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0.66</v>
      </c>
      <c r="C31" s="4">
        <v>0.65</v>
      </c>
      <c r="D31" s="4">
        <v>0.65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0.63</v>
      </c>
      <c r="M31" s="33">
        <v>1936</v>
      </c>
      <c r="N31" s="4"/>
      <c r="O31" s="26"/>
      <c r="P31" s="15"/>
      <c r="Q31" s="37" t="s">
        <v>98</v>
      </c>
      <c r="R31" s="3">
        <v>0.7</v>
      </c>
      <c r="S31" s="4">
        <v>0.7</v>
      </c>
      <c r="T31" s="4">
        <v>0.7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0.56999999999999995</v>
      </c>
      <c r="C35" s="2">
        <v>0.71</v>
      </c>
      <c r="D35" s="2">
        <v>0.63</v>
      </c>
      <c r="E35" s="32">
        <v>163</v>
      </c>
      <c r="F35" s="2" t="s">
        <v>156</v>
      </c>
      <c r="G35" s="5">
        <v>0.60154250657318098</v>
      </c>
      <c r="H35" s="15"/>
      <c r="I35" s="35">
        <v>0</v>
      </c>
      <c r="J35" s="1">
        <v>0.6</v>
      </c>
      <c r="K35" s="2">
        <v>0.63</v>
      </c>
      <c r="L35" s="2">
        <v>0.62</v>
      </c>
      <c r="M35" s="32">
        <v>932</v>
      </c>
      <c r="N35" s="2" t="s">
        <v>424</v>
      </c>
      <c r="O35" s="5">
        <v>0.62383299420344296</v>
      </c>
      <c r="P35" s="15"/>
      <c r="Q35" s="35">
        <v>0</v>
      </c>
      <c r="R35" s="1">
        <v>0.61</v>
      </c>
      <c r="S35" s="2">
        <v>0.53</v>
      </c>
      <c r="T35" s="2">
        <v>0.56999999999999995</v>
      </c>
      <c r="U35" s="32">
        <v>811</v>
      </c>
      <c r="V35" s="2" t="s">
        <v>440</v>
      </c>
      <c r="W35" s="5">
        <v>0.64628508405206697</v>
      </c>
    </row>
    <row r="36" spans="1:23" ht="15" customHeight="1" x14ac:dyDescent="0.15">
      <c r="A36" s="36">
        <v>1</v>
      </c>
      <c r="B36" s="3">
        <v>0.65</v>
      </c>
      <c r="C36" s="4">
        <v>0.49</v>
      </c>
      <c r="D36" s="4">
        <v>0.56000000000000005</v>
      </c>
      <c r="E36" s="33">
        <v>175</v>
      </c>
      <c r="F36" s="4" t="s">
        <v>125</v>
      </c>
      <c r="G36" s="26"/>
      <c r="H36" s="15"/>
      <c r="I36" s="36">
        <v>1</v>
      </c>
      <c r="J36" s="3">
        <v>0.64</v>
      </c>
      <c r="K36" s="4">
        <v>0.61</v>
      </c>
      <c r="L36" s="4">
        <v>0.63</v>
      </c>
      <c r="M36" s="33">
        <v>1004</v>
      </c>
      <c r="N36" s="4" t="s">
        <v>425</v>
      </c>
      <c r="O36" s="26"/>
      <c r="P36" s="15"/>
      <c r="Q36" s="36">
        <v>1</v>
      </c>
      <c r="R36" s="3">
        <v>0.7</v>
      </c>
      <c r="S36" s="4">
        <v>0.76</v>
      </c>
      <c r="T36" s="4">
        <v>0.73</v>
      </c>
      <c r="U36" s="33">
        <v>1137</v>
      </c>
      <c r="V36" s="4" t="s">
        <v>441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0.67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0.61</v>
      </c>
      <c r="C38" s="4">
        <v>0.6</v>
      </c>
      <c r="D38" s="4">
        <v>0.59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0.65</v>
      </c>
      <c r="S38" s="4">
        <v>0.65</v>
      </c>
      <c r="T38" s="4">
        <v>0.65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0.61</v>
      </c>
      <c r="C39" s="4">
        <v>0.6</v>
      </c>
      <c r="D39" s="4">
        <v>0.59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0.66</v>
      </c>
      <c r="S39" s="4">
        <v>0.67</v>
      </c>
      <c r="T39" s="4">
        <v>0.66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</v>
      </c>
      <c r="C43" s="2">
        <v>0.87</v>
      </c>
      <c r="D43" s="2">
        <v>0.63</v>
      </c>
      <c r="E43" s="32">
        <v>163</v>
      </c>
      <c r="F43" s="2" t="s">
        <v>361</v>
      </c>
      <c r="G43" s="5">
        <v>0.52701139351446002</v>
      </c>
      <c r="H43" s="15"/>
      <c r="I43" s="35">
        <v>0</v>
      </c>
      <c r="J43" s="1">
        <v>0.53</v>
      </c>
      <c r="K43" s="2">
        <v>0.73</v>
      </c>
      <c r="L43" s="2">
        <v>0.62</v>
      </c>
      <c r="M43" s="32">
        <v>932</v>
      </c>
      <c r="N43" s="2" t="s">
        <v>426</v>
      </c>
      <c r="O43" s="5">
        <v>0.56845365319836505</v>
      </c>
      <c r="P43" s="15"/>
      <c r="Q43" s="35">
        <v>0</v>
      </c>
      <c r="R43" s="1">
        <v>0.55000000000000004</v>
      </c>
      <c r="S43" s="2">
        <v>0.08</v>
      </c>
      <c r="T43" s="2">
        <v>0.13</v>
      </c>
      <c r="U43" s="32">
        <v>811</v>
      </c>
      <c r="V43" s="2" t="s">
        <v>442</v>
      </c>
      <c r="W43" s="5">
        <v>0.51605995833455298</v>
      </c>
    </row>
    <row r="44" spans="1:23" ht="15" customHeight="1" x14ac:dyDescent="0.15">
      <c r="A44" s="36">
        <v>1</v>
      </c>
      <c r="B44" s="3">
        <v>0.6</v>
      </c>
      <c r="C44" s="4">
        <v>0.18</v>
      </c>
      <c r="D44" s="4">
        <v>0.28000000000000003</v>
      </c>
      <c r="E44" s="33">
        <v>175</v>
      </c>
      <c r="F44" s="4" t="s">
        <v>362</v>
      </c>
      <c r="G44" s="26"/>
      <c r="H44" s="15"/>
      <c r="I44" s="36">
        <v>1</v>
      </c>
      <c r="J44" s="3">
        <v>0.62</v>
      </c>
      <c r="K44" s="4">
        <v>0.41</v>
      </c>
      <c r="L44" s="4">
        <v>0.49</v>
      </c>
      <c r="M44" s="33">
        <v>1004</v>
      </c>
      <c r="N44" s="4" t="s">
        <v>427</v>
      </c>
      <c r="O44" s="26"/>
      <c r="P44" s="15"/>
      <c r="Q44" s="36">
        <v>1</v>
      </c>
      <c r="R44" s="3">
        <v>0.59</v>
      </c>
      <c r="S44" s="4">
        <v>0.96</v>
      </c>
      <c r="T44" s="4">
        <v>0.73</v>
      </c>
      <c r="U44" s="33">
        <v>1137</v>
      </c>
      <c r="V44" s="4" t="s">
        <v>443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0.51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0.56000000000000005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0.59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0.55000000000000004</v>
      </c>
      <c r="C46" s="4">
        <v>0.53</v>
      </c>
      <c r="D46" s="4">
        <v>0.46</v>
      </c>
      <c r="E46" s="33">
        <v>338</v>
      </c>
      <c r="F46" s="4"/>
      <c r="G46" s="26"/>
      <c r="H46" s="15"/>
      <c r="I46" s="37" t="s">
        <v>97</v>
      </c>
      <c r="J46" s="3">
        <v>0.57999999999999996</v>
      </c>
      <c r="K46" s="4">
        <v>0.56999999999999995</v>
      </c>
      <c r="L46" s="4">
        <v>0.55000000000000004</v>
      </c>
      <c r="M46" s="33">
        <v>1936</v>
      </c>
      <c r="N46" s="4"/>
      <c r="O46" s="26"/>
      <c r="P46" s="15"/>
      <c r="Q46" s="37" t="s">
        <v>97</v>
      </c>
      <c r="R46" s="3">
        <v>0.56999999999999995</v>
      </c>
      <c r="S46" s="4">
        <v>0.52</v>
      </c>
      <c r="T46" s="4">
        <v>0.43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0.55000000000000004</v>
      </c>
      <c r="C47" s="4">
        <v>0.51</v>
      </c>
      <c r="D47" s="4">
        <v>0.45</v>
      </c>
      <c r="E47" s="33">
        <v>338</v>
      </c>
      <c r="F47" s="4"/>
      <c r="G47" s="26"/>
      <c r="H47" s="15"/>
      <c r="I47" s="37" t="s">
        <v>98</v>
      </c>
      <c r="J47" s="3">
        <v>0.57999999999999996</v>
      </c>
      <c r="K47" s="4">
        <v>0.56000000000000005</v>
      </c>
      <c r="L47" s="4">
        <v>0.55000000000000004</v>
      </c>
      <c r="M47" s="33">
        <v>1936</v>
      </c>
      <c r="N47" s="4"/>
      <c r="O47" s="26"/>
      <c r="P47" s="15"/>
      <c r="Q47" s="37" t="s">
        <v>98</v>
      </c>
      <c r="R47" s="3">
        <v>0.57999999999999996</v>
      </c>
      <c r="S47" s="4">
        <v>0.59</v>
      </c>
      <c r="T47" s="4">
        <v>0.48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0.65</v>
      </c>
      <c r="C51" s="2">
        <v>0.28999999999999998</v>
      </c>
      <c r="D51" s="2">
        <v>0.4</v>
      </c>
      <c r="E51" s="32">
        <v>163</v>
      </c>
      <c r="F51" s="2" t="s">
        <v>363</v>
      </c>
      <c r="G51" s="5">
        <v>0.57274320771253195</v>
      </c>
      <c r="H51" s="15"/>
      <c r="I51" s="35">
        <v>0</v>
      </c>
      <c r="J51" s="1">
        <v>0.68</v>
      </c>
      <c r="K51" s="2">
        <v>0.17</v>
      </c>
      <c r="L51" s="2">
        <v>0.28000000000000003</v>
      </c>
      <c r="M51" s="32">
        <v>915</v>
      </c>
      <c r="N51" s="2" t="s">
        <v>428</v>
      </c>
      <c r="O51" s="5">
        <v>0.55119271259827696</v>
      </c>
      <c r="P51" s="15"/>
      <c r="Q51" s="35">
        <v>0</v>
      </c>
      <c r="R51" s="1">
        <v>0.68</v>
      </c>
      <c r="S51" s="2">
        <v>0.24</v>
      </c>
      <c r="T51" s="2">
        <v>0.35</v>
      </c>
      <c r="U51" s="32">
        <v>881</v>
      </c>
      <c r="V51" s="2" t="s">
        <v>444</v>
      </c>
      <c r="W51" s="5">
        <v>0.57118731696004399</v>
      </c>
    </row>
    <row r="52" spans="1:23" ht="15" customHeight="1" x14ac:dyDescent="0.15">
      <c r="A52" s="36">
        <v>1</v>
      </c>
      <c r="B52" s="3">
        <v>0.56000000000000005</v>
      </c>
      <c r="C52" s="4">
        <v>0.86</v>
      </c>
      <c r="D52" s="4">
        <v>0.68</v>
      </c>
      <c r="E52" s="33">
        <v>175</v>
      </c>
      <c r="F52" s="4" t="s">
        <v>364</v>
      </c>
      <c r="G52" s="26"/>
      <c r="H52" s="15"/>
      <c r="I52" s="36">
        <v>1</v>
      </c>
      <c r="J52" s="3">
        <v>0.56000000000000005</v>
      </c>
      <c r="K52" s="4">
        <v>0.93</v>
      </c>
      <c r="L52" s="4">
        <v>0.7</v>
      </c>
      <c r="M52" s="33">
        <v>1021</v>
      </c>
      <c r="N52" s="4" t="s">
        <v>429</v>
      </c>
      <c r="O52" s="26"/>
      <c r="P52" s="15"/>
      <c r="Q52" s="36">
        <v>1</v>
      </c>
      <c r="R52" s="3">
        <v>0.59</v>
      </c>
      <c r="S52" s="4">
        <v>0.91</v>
      </c>
      <c r="T52" s="4">
        <v>0.71</v>
      </c>
      <c r="U52" s="33">
        <v>1067</v>
      </c>
      <c r="V52" s="4" t="s">
        <v>445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0.57999999999999996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0.56999999999999995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0.61</v>
      </c>
      <c r="C54" s="4">
        <v>0.56999999999999995</v>
      </c>
      <c r="D54" s="4">
        <v>0.54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0.55000000000000004</v>
      </c>
      <c r="L54" s="4">
        <v>0.49</v>
      </c>
      <c r="M54" s="33">
        <v>1936</v>
      </c>
      <c r="N54" s="4"/>
      <c r="O54" s="26"/>
      <c r="P54" s="15"/>
      <c r="Q54" s="37" t="s">
        <v>97</v>
      </c>
      <c r="R54" s="3">
        <v>0.63</v>
      </c>
      <c r="S54" s="4">
        <v>0.56999999999999995</v>
      </c>
      <c r="T54" s="4">
        <v>0.53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0.61</v>
      </c>
      <c r="C55" s="4">
        <v>0.57999999999999996</v>
      </c>
      <c r="D55" s="4">
        <v>0.55000000000000004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0.56999999999999995</v>
      </c>
      <c r="L55" s="4">
        <v>0.5</v>
      </c>
      <c r="M55" s="33">
        <v>1936</v>
      </c>
      <c r="N55" s="4"/>
      <c r="O55" s="26"/>
      <c r="P55" s="15"/>
      <c r="Q55" s="37" t="s">
        <v>98</v>
      </c>
      <c r="R55" s="3">
        <v>0.63</v>
      </c>
      <c r="S55" s="4">
        <v>0.6</v>
      </c>
      <c r="T55" s="4">
        <v>0.55000000000000004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0.54</v>
      </c>
      <c r="C59" s="2">
        <v>0.45</v>
      </c>
      <c r="D59" s="2">
        <v>0.49</v>
      </c>
      <c r="E59" s="32">
        <v>163</v>
      </c>
      <c r="F59" s="2" t="s">
        <v>185</v>
      </c>
      <c r="G59" s="5">
        <v>0.54964066608238304</v>
      </c>
      <c r="H59" s="15"/>
      <c r="I59" s="35">
        <v>0</v>
      </c>
      <c r="J59" s="1">
        <v>0.56000000000000005</v>
      </c>
      <c r="K59" s="2">
        <v>0.34</v>
      </c>
      <c r="L59" s="2">
        <v>0.42</v>
      </c>
      <c r="M59" s="32">
        <v>915</v>
      </c>
      <c r="N59" s="2" t="s">
        <v>430</v>
      </c>
      <c r="O59" s="5">
        <v>0.54996494382984595</v>
      </c>
      <c r="P59" s="15"/>
      <c r="Q59" s="35">
        <v>0</v>
      </c>
      <c r="R59" s="1">
        <v>0.57999999999999996</v>
      </c>
      <c r="S59" s="2">
        <v>0.31</v>
      </c>
      <c r="T59" s="2">
        <v>0.41</v>
      </c>
      <c r="U59" s="32">
        <v>881</v>
      </c>
      <c r="V59" s="2" t="s">
        <v>446</v>
      </c>
      <c r="W59" s="5">
        <v>0.56208119554012803</v>
      </c>
    </row>
    <row r="60" spans="1:23" ht="15" customHeight="1" x14ac:dyDescent="0.15">
      <c r="A60" s="36">
        <v>1</v>
      </c>
      <c r="B60" s="3">
        <v>0.56000000000000005</v>
      </c>
      <c r="C60" s="4">
        <v>0.65</v>
      </c>
      <c r="D60" s="4">
        <v>0.6</v>
      </c>
      <c r="E60" s="33">
        <v>175</v>
      </c>
      <c r="F60" s="4" t="s">
        <v>365</v>
      </c>
      <c r="G60" s="26"/>
      <c r="H60" s="15"/>
      <c r="I60" s="36">
        <v>1</v>
      </c>
      <c r="J60" s="3">
        <v>0.56000000000000005</v>
      </c>
      <c r="K60" s="4">
        <v>0.76</v>
      </c>
      <c r="L60" s="4">
        <v>0.65</v>
      </c>
      <c r="M60" s="33">
        <v>1021</v>
      </c>
      <c r="N60" s="4" t="s">
        <v>431</v>
      </c>
      <c r="O60" s="26"/>
      <c r="P60" s="15"/>
      <c r="Q60" s="36">
        <v>1</v>
      </c>
      <c r="R60" s="3">
        <v>0.59</v>
      </c>
      <c r="S60" s="4">
        <v>0.81</v>
      </c>
      <c r="T60" s="4">
        <v>0.68</v>
      </c>
      <c r="U60" s="33">
        <v>1067</v>
      </c>
      <c r="V60" s="4" t="s">
        <v>447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0.55000000000000004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0.56000000000000005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0.59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0.55000000000000004</v>
      </c>
      <c r="C62" s="4">
        <v>0.55000000000000004</v>
      </c>
      <c r="D62" s="4">
        <v>0.55000000000000004</v>
      </c>
      <c r="E62" s="33">
        <v>338</v>
      </c>
      <c r="F62" s="4"/>
      <c r="G62" s="26"/>
      <c r="H62" s="15"/>
      <c r="I62" s="37" t="s">
        <v>97</v>
      </c>
      <c r="J62" s="3">
        <v>0.56000000000000005</v>
      </c>
      <c r="K62" s="4">
        <v>0.55000000000000004</v>
      </c>
      <c r="L62" s="4">
        <v>0.53</v>
      </c>
      <c r="M62" s="33">
        <v>1936</v>
      </c>
      <c r="N62" s="4"/>
      <c r="O62" s="26"/>
      <c r="P62" s="15"/>
      <c r="Q62" s="37" t="s">
        <v>97</v>
      </c>
      <c r="R62" s="3">
        <v>0.57999999999999996</v>
      </c>
      <c r="S62" s="4">
        <v>0.56000000000000005</v>
      </c>
      <c r="T62" s="4">
        <v>0.54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0.55000000000000004</v>
      </c>
      <c r="C63" s="4">
        <v>0.55000000000000004</v>
      </c>
      <c r="D63" s="4">
        <v>0.55000000000000004</v>
      </c>
      <c r="E63" s="33">
        <v>338</v>
      </c>
      <c r="F63" s="4"/>
      <c r="G63" s="26"/>
      <c r="H63" s="15"/>
      <c r="I63" s="37" t="s">
        <v>98</v>
      </c>
      <c r="J63" s="3">
        <v>0.56000000000000005</v>
      </c>
      <c r="K63" s="4">
        <v>0.56000000000000005</v>
      </c>
      <c r="L63" s="4">
        <v>0.54</v>
      </c>
      <c r="M63" s="33">
        <v>1936</v>
      </c>
      <c r="N63" s="4"/>
      <c r="O63" s="26"/>
      <c r="P63" s="15"/>
      <c r="Q63" s="37" t="s">
        <v>98</v>
      </c>
      <c r="R63" s="3">
        <v>0.57999999999999996</v>
      </c>
      <c r="S63" s="4">
        <v>0.59</v>
      </c>
      <c r="T63" s="4">
        <v>0.56000000000000005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0.49</v>
      </c>
      <c r="C67" s="2">
        <v>0.84</v>
      </c>
      <c r="D67" s="2">
        <v>0.62</v>
      </c>
      <c r="E67" s="32">
        <v>163</v>
      </c>
      <c r="F67" s="2" t="s">
        <v>366</v>
      </c>
      <c r="G67" s="5">
        <v>0.51738825591586302</v>
      </c>
      <c r="H67" s="15"/>
      <c r="I67" s="35">
        <v>0</v>
      </c>
      <c r="J67" s="1">
        <v>0.54</v>
      </c>
      <c r="K67" s="2">
        <v>0.44</v>
      </c>
      <c r="L67" s="2">
        <v>0.48</v>
      </c>
      <c r="M67" s="32">
        <v>915</v>
      </c>
      <c r="N67" s="2" t="s">
        <v>254</v>
      </c>
      <c r="O67" s="5">
        <v>0.552998506767714</v>
      </c>
      <c r="P67" s="15"/>
      <c r="Q67" s="35">
        <v>0</v>
      </c>
      <c r="R67" s="1">
        <v>0.53</v>
      </c>
      <c r="S67" s="2">
        <v>0.7</v>
      </c>
      <c r="T67" s="2">
        <v>0.6</v>
      </c>
      <c r="U67" s="32">
        <v>881</v>
      </c>
      <c r="V67" s="2" t="s">
        <v>448</v>
      </c>
      <c r="W67" s="5">
        <v>0.59140216185279704</v>
      </c>
    </row>
    <row r="68" spans="1:23" ht="15" customHeight="1" x14ac:dyDescent="0.15">
      <c r="A68" s="36">
        <v>1</v>
      </c>
      <c r="B68" s="3">
        <v>0.56999999999999995</v>
      </c>
      <c r="C68" s="4">
        <v>0.19</v>
      </c>
      <c r="D68" s="4">
        <v>0.28999999999999998</v>
      </c>
      <c r="E68" s="33">
        <v>175</v>
      </c>
      <c r="F68" s="4" t="s">
        <v>367</v>
      </c>
      <c r="G68" s="26"/>
      <c r="H68" s="15"/>
      <c r="I68" s="36">
        <v>1</v>
      </c>
      <c r="J68" s="3">
        <v>0.56999999999999995</v>
      </c>
      <c r="K68" s="4">
        <v>0.67</v>
      </c>
      <c r="L68" s="4">
        <v>0.62</v>
      </c>
      <c r="M68" s="33">
        <v>1021</v>
      </c>
      <c r="N68" s="4" t="s">
        <v>432</v>
      </c>
      <c r="O68" s="26"/>
      <c r="P68" s="15"/>
      <c r="Q68" s="36">
        <v>1</v>
      </c>
      <c r="R68" s="3">
        <v>0.66</v>
      </c>
      <c r="S68" s="4">
        <v>0.48</v>
      </c>
      <c r="T68" s="4">
        <v>0.56000000000000005</v>
      </c>
      <c r="U68" s="33">
        <v>1067</v>
      </c>
      <c r="V68" s="4" t="s">
        <v>449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0.51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0.56000000000000005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0.57999999999999996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0.53</v>
      </c>
      <c r="C70" s="4">
        <v>0.52</v>
      </c>
      <c r="D70" s="4">
        <v>0.46</v>
      </c>
      <c r="E70" s="33">
        <v>338</v>
      </c>
      <c r="F70" s="4"/>
      <c r="G70" s="26"/>
      <c r="H70" s="15"/>
      <c r="I70" s="37" t="s">
        <v>97</v>
      </c>
      <c r="J70" s="3">
        <v>0.56000000000000005</v>
      </c>
      <c r="K70" s="4">
        <v>0.55000000000000004</v>
      </c>
      <c r="L70" s="4">
        <v>0.55000000000000004</v>
      </c>
      <c r="M70" s="33">
        <v>1936</v>
      </c>
      <c r="N70" s="4"/>
      <c r="O70" s="26"/>
      <c r="P70" s="15"/>
      <c r="Q70" s="37" t="s">
        <v>97</v>
      </c>
      <c r="R70" s="3">
        <v>0.59</v>
      </c>
      <c r="S70" s="4">
        <v>0.59</v>
      </c>
      <c r="T70" s="4">
        <v>0.57999999999999996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0.53</v>
      </c>
      <c r="C71" s="4">
        <v>0.51</v>
      </c>
      <c r="D71" s="4">
        <v>0.45</v>
      </c>
      <c r="E71" s="33">
        <v>338</v>
      </c>
      <c r="F71" s="4"/>
      <c r="G71" s="26"/>
      <c r="H71" s="20"/>
      <c r="I71" s="37" t="s">
        <v>98</v>
      </c>
      <c r="J71" s="3">
        <v>0.56000000000000005</v>
      </c>
      <c r="K71" s="4">
        <v>0.56000000000000005</v>
      </c>
      <c r="L71" s="4">
        <v>0.55000000000000004</v>
      </c>
      <c r="M71" s="33">
        <v>1936</v>
      </c>
      <c r="N71" s="4"/>
      <c r="O71" s="26"/>
      <c r="P71" s="20"/>
      <c r="Q71" s="37" t="s">
        <v>98</v>
      </c>
      <c r="R71" s="3">
        <v>0.6</v>
      </c>
      <c r="S71" s="4">
        <v>0.57999999999999996</v>
      </c>
      <c r="T71" s="4">
        <v>0.57999999999999996</v>
      </c>
      <c r="U71" s="33">
        <v>1948</v>
      </c>
      <c r="V71" s="4"/>
      <c r="W71" s="26"/>
    </row>
  </sheetData>
  <mergeCells count="27">
    <mergeCell ref="A1:G1"/>
    <mergeCell ref="I1:O1"/>
    <mergeCell ref="Q1:W1"/>
    <mergeCell ref="A9:G9"/>
    <mergeCell ref="I9:O9"/>
    <mergeCell ref="Q9:W9"/>
    <mergeCell ref="A17:G17"/>
    <mergeCell ref="I17:O17"/>
    <mergeCell ref="Q17:W17"/>
    <mergeCell ref="A25:G25"/>
    <mergeCell ref="I25:O25"/>
    <mergeCell ref="Q25:W25"/>
    <mergeCell ref="A33:G33"/>
    <mergeCell ref="I33:O33"/>
    <mergeCell ref="Q33:W33"/>
    <mergeCell ref="A41:G41"/>
    <mergeCell ref="I41:O41"/>
    <mergeCell ref="Q41:W41"/>
    <mergeCell ref="A65:G65"/>
    <mergeCell ref="I65:O65"/>
    <mergeCell ref="Q65:W65"/>
    <mergeCell ref="A49:G49"/>
    <mergeCell ref="I49:O49"/>
    <mergeCell ref="Q49:W49"/>
    <mergeCell ref="A57:G57"/>
    <mergeCell ref="I57:O57"/>
    <mergeCell ref="Q57:W5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9BD3A-19B7-B742-852C-44371FD40B05}">
  <dimension ref="A1:W71"/>
  <sheetViews>
    <sheetView topLeftCell="O41" workbookViewId="0">
      <selection activeCell="T53" sqref="T53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0.68</v>
      </c>
      <c r="C3" s="16">
        <v>0.65</v>
      </c>
      <c r="D3" s="16">
        <v>0.66</v>
      </c>
      <c r="E3" s="29">
        <v>192</v>
      </c>
      <c r="F3" s="16" t="s">
        <v>274</v>
      </c>
      <c r="G3" s="23">
        <v>0.62428652968036502</v>
      </c>
      <c r="H3" s="15"/>
      <c r="I3" s="35">
        <v>0</v>
      </c>
      <c r="J3" s="10">
        <v>0.69</v>
      </c>
      <c r="K3" s="16">
        <v>0.64</v>
      </c>
      <c r="L3" s="16">
        <v>0.66</v>
      </c>
      <c r="M3" s="29">
        <v>1075</v>
      </c>
      <c r="N3" s="16" t="s">
        <v>398</v>
      </c>
      <c r="O3" s="23">
        <v>0.64020797882397396</v>
      </c>
      <c r="P3" s="15"/>
      <c r="Q3" s="35">
        <v>0</v>
      </c>
      <c r="R3" s="10">
        <v>0.74</v>
      </c>
      <c r="S3" s="16">
        <v>0.52</v>
      </c>
      <c r="T3" s="16">
        <v>0.61</v>
      </c>
      <c r="U3" s="29">
        <v>987</v>
      </c>
      <c r="V3" s="16" t="s">
        <v>450</v>
      </c>
      <c r="W3" s="23">
        <v>0.66470621724457402</v>
      </c>
    </row>
    <row r="4" spans="1:23" ht="15" customHeight="1" x14ac:dyDescent="0.15">
      <c r="A4" s="36">
        <v>1</v>
      </c>
      <c r="B4" s="11">
        <v>0.56000000000000005</v>
      </c>
      <c r="C4" s="12">
        <v>0.6</v>
      </c>
      <c r="D4" s="12">
        <v>0.57999999999999996</v>
      </c>
      <c r="E4" s="30">
        <v>146</v>
      </c>
      <c r="F4" s="12" t="s">
        <v>333</v>
      </c>
      <c r="G4" s="24"/>
      <c r="H4" s="15"/>
      <c r="I4" s="36">
        <v>1</v>
      </c>
      <c r="J4" s="11">
        <v>0.59</v>
      </c>
      <c r="K4" s="12">
        <v>0.64</v>
      </c>
      <c r="L4" s="12">
        <v>0.61</v>
      </c>
      <c r="M4" s="30">
        <v>861</v>
      </c>
      <c r="N4" s="12" t="s">
        <v>399</v>
      </c>
      <c r="O4" s="24"/>
      <c r="P4" s="15"/>
      <c r="Q4" s="36">
        <v>1</v>
      </c>
      <c r="R4" s="11">
        <v>0.62</v>
      </c>
      <c r="S4" s="12">
        <v>0.81</v>
      </c>
      <c r="T4" s="12">
        <v>0.7</v>
      </c>
      <c r="U4" s="30">
        <v>961</v>
      </c>
      <c r="V4" s="12" t="s">
        <v>451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0.63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0.64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0.66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0.62</v>
      </c>
      <c r="C6" s="12">
        <v>0.62</v>
      </c>
      <c r="D6" s="12">
        <v>0.62</v>
      </c>
      <c r="E6" s="30">
        <v>338</v>
      </c>
      <c r="F6" s="12"/>
      <c r="G6" s="24"/>
      <c r="H6" s="15"/>
      <c r="I6" s="37" t="s">
        <v>97</v>
      </c>
      <c r="J6" s="11">
        <v>0.64</v>
      </c>
      <c r="K6" s="12">
        <v>0.64</v>
      </c>
      <c r="L6" s="12">
        <v>0.64</v>
      </c>
      <c r="M6" s="30">
        <v>1936</v>
      </c>
      <c r="N6" s="12"/>
      <c r="O6" s="24"/>
      <c r="P6" s="15"/>
      <c r="Q6" s="37" t="s">
        <v>97</v>
      </c>
      <c r="R6" s="11">
        <v>0.68</v>
      </c>
      <c r="S6" s="12">
        <v>0.66</v>
      </c>
      <c r="T6" s="12">
        <v>0.66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0.63</v>
      </c>
      <c r="C7" s="12">
        <v>0.63</v>
      </c>
      <c r="D7" s="12">
        <v>0.63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0.64</v>
      </c>
      <c r="L7" s="12">
        <v>0.64</v>
      </c>
      <c r="M7" s="30">
        <v>1936</v>
      </c>
      <c r="N7" s="12"/>
      <c r="O7" s="24"/>
      <c r="P7" s="15"/>
      <c r="Q7" s="37" t="s">
        <v>98</v>
      </c>
      <c r="R7" s="11">
        <v>0.68</v>
      </c>
      <c r="S7" s="12">
        <v>0.66</v>
      </c>
      <c r="T7" s="12">
        <v>0.66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0.65</v>
      </c>
      <c r="C11" s="2">
        <v>0.76</v>
      </c>
      <c r="D11" s="2">
        <v>0.7</v>
      </c>
      <c r="E11" s="32">
        <v>192</v>
      </c>
      <c r="F11" s="19" t="s">
        <v>41</v>
      </c>
      <c r="G11" s="5">
        <v>0.60705622146118698</v>
      </c>
      <c r="H11" s="15"/>
      <c r="I11" s="35">
        <v>0</v>
      </c>
      <c r="J11" s="1">
        <v>0.67</v>
      </c>
      <c r="K11" s="2">
        <v>0.66</v>
      </c>
      <c r="L11" s="2">
        <v>0.66</v>
      </c>
      <c r="M11" s="32">
        <v>1075</v>
      </c>
      <c r="N11" s="19" t="s">
        <v>400</v>
      </c>
      <c r="O11" s="5">
        <v>0.62755854468843597</v>
      </c>
      <c r="P11" s="15"/>
      <c r="Q11" s="35">
        <v>0</v>
      </c>
      <c r="R11" s="1">
        <v>0.7</v>
      </c>
      <c r="S11" s="2">
        <v>0.56999999999999995</v>
      </c>
      <c r="T11" s="2">
        <v>0.63</v>
      </c>
      <c r="U11" s="32">
        <v>987</v>
      </c>
      <c r="V11" s="19" t="s">
        <v>452</v>
      </c>
      <c r="W11" s="5">
        <v>0.65772261037609603</v>
      </c>
    </row>
    <row r="12" spans="1:23" ht="15" customHeight="1" x14ac:dyDescent="0.15">
      <c r="A12" s="36">
        <v>1</v>
      </c>
      <c r="B12" s="3">
        <v>0.59</v>
      </c>
      <c r="C12" s="4">
        <v>0.46</v>
      </c>
      <c r="D12" s="4">
        <v>0.52</v>
      </c>
      <c r="E12" s="33">
        <v>146</v>
      </c>
      <c r="F12" s="4" t="s">
        <v>346</v>
      </c>
      <c r="G12" s="26"/>
      <c r="H12" s="15"/>
      <c r="I12" s="36">
        <v>1</v>
      </c>
      <c r="J12" s="3">
        <v>0.57999999999999996</v>
      </c>
      <c r="K12" s="4">
        <v>0.6</v>
      </c>
      <c r="L12" s="4">
        <v>0.59</v>
      </c>
      <c r="M12" s="33">
        <v>861</v>
      </c>
      <c r="N12" s="4" t="s">
        <v>401</v>
      </c>
      <c r="O12" s="26"/>
      <c r="P12" s="15"/>
      <c r="Q12" s="36">
        <v>1</v>
      </c>
      <c r="R12" s="3">
        <v>0.63</v>
      </c>
      <c r="S12" s="4">
        <v>0.74</v>
      </c>
      <c r="T12" s="4">
        <v>0.68</v>
      </c>
      <c r="U12" s="33">
        <v>961</v>
      </c>
      <c r="V12" s="4" t="s">
        <v>453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0.63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0.63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0.66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0.62</v>
      </c>
      <c r="C14" s="4">
        <v>0.61</v>
      </c>
      <c r="D14" s="4">
        <v>0.61</v>
      </c>
      <c r="E14" s="33">
        <v>338</v>
      </c>
      <c r="F14" s="4"/>
      <c r="G14" s="26"/>
      <c r="H14" s="15"/>
      <c r="I14" s="37" t="s">
        <v>97</v>
      </c>
      <c r="J14" s="3">
        <v>0.63</v>
      </c>
      <c r="K14" s="4">
        <v>0.63</v>
      </c>
      <c r="L14" s="4">
        <v>0.63</v>
      </c>
      <c r="M14" s="33">
        <v>1936</v>
      </c>
      <c r="N14" s="4"/>
      <c r="O14" s="26"/>
      <c r="P14" s="15"/>
      <c r="Q14" s="37" t="s">
        <v>97</v>
      </c>
      <c r="R14" s="3">
        <v>0.66</v>
      </c>
      <c r="S14" s="4">
        <v>0.66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0.62</v>
      </c>
      <c r="C15" s="4">
        <v>0.63</v>
      </c>
      <c r="D15" s="4">
        <v>0.62</v>
      </c>
      <c r="E15" s="33">
        <v>338</v>
      </c>
      <c r="F15" s="4"/>
      <c r="G15" s="26"/>
      <c r="H15" s="15"/>
      <c r="I15" s="37" t="s">
        <v>98</v>
      </c>
      <c r="J15" s="3">
        <v>0.63</v>
      </c>
      <c r="K15" s="4">
        <v>0.63</v>
      </c>
      <c r="L15" s="4">
        <v>0.63</v>
      </c>
      <c r="M15" s="33">
        <v>1936</v>
      </c>
      <c r="N15" s="4"/>
      <c r="O15" s="26"/>
      <c r="P15" s="15"/>
      <c r="Q15" s="37" t="s">
        <v>98</v>
      </c>
      <c r="R15" s="3">
        <v>0.66</v>
      </c>
      <c r="S15" s="4">
        <v>0.66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</v>
      </c>
      <c r="C19" s="2">
        <v>0.84</v>
      </c>
      <c r="D19" s="2">
        <v>0.7</v>
      </c>
      <c r="E19" s="32">
        <v>192</v>
      </c>
      <c r="F19" s="2" t="s">
        <v>347</v>
      </c>
      <c r="G19" s="5">
        <v>0.55625713470319604</v>
      </c>
      <c r="H19" s="15"/>
      <c r="I19" s="35">
        <v>0</v>
      </c>
      <c r="J19" s="1">
        <v>0.62</v>
      </c>
      <c r="K19" s="2">
        <v>0.68</v>
      </c>
      <c r="L19" s="2">
        <v>0.65</v>
      </c>
      <c r="M19" s="32">
        <v>1075</v>
      </c>
      <c r="N19" s="2" t="s">
        <v>402</v>
      </c>
      <c r="O19" s="5">
        <v>0.57554115009588602</v>
      </c>
      <c r="P19" s="15"/>
      <c r="Q19" s="35">
        <v>0</v>
      </c>
      <c r="R19" s="1">
        <v>0.65</v>
      </c>
      <c r="S19" s="2">
        <v>0.56999999999999995</v>
      </c>
      <c r="T19" s="2">
        <v>0.61</v>
      </c>
      <c r="U19" s="32">
        <v>987</v>
      </c>
      <c r="V19" s="2" t="s">
        <v>454</v>
      </c>
      <c r="W19" s="5">
        <v>0.627107654450626</v>
      </c>
    </row>
    <row r="20" spans="1:23" ht="15" customHeight="1" x14ac:dyDescent="0.15">
      <c r="A20" s="36">
        <v>1</v>
      </c>
      <c r="B20" s="3">
        <v>0.56000000000000005</v>
      </c>
      <c r="C20" s="4">
        <v>0.27</v>
      </c>
      <c r="D20" s="4">
        <v>0.37</v>
      </c>
      <c r="E20" s="33">
        <v>146</v>
      </c>
      <c r="F20" s="4" t="s">
        <v>348</v>
      </c>
      <c r="G20" s="26"/>
      <c r="H20" s="15"/>
      <c r="I20" s="36">
        <v>1</v>
      </c>
      <c r="J20" s="3">
        <v>0.54</v>
      </c>
      <c r="K20" s="4">
        <v>0.47</v>
      </c>
      <c r="L20" s="4">
        <v>0.5</v>
      </c>
      <c r="M20" s="33">
        <v>861</v>
      </c>
      <c r="N20" s="4" t="s">
        <v>403</v>
      </c>
      <c r="O20" s="26"/>
      <c r="P20" s="15"/>
      <c r="Q20" s="36">
        <v>1</v>
      </c>
      <c r="R20" s="3">
        <v>0.61</v>
      </c>
      <c r="S20" s="4">
        <v>0.69</v>
      </c>
      <c r="T20" s="4">
        <v>0.65</v>
      </c>
      <c r="U20" s="33">
        <v>961</v>
      </c>
      <c r="V20" s="4" t="s">
        <v>455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0.59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0.59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0.63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0.57999999999999996</v>
      </c>
      <c r="C22" s="4">
        <v>0.56000000000000005</v>
      </c>
      <c r="D22" s="4">
        <v>0.54</v>
      </c>
      <c r="E22" s="33">
        <v>338</v>
      </c>
      <c r="F22" s="4"/>
      <c r="G22" s="26"/>
      <c r="H22" s="15"/>
      <c r="I22" s="37" t="s">
        <v>97</v>
      </c>
      <c r="J22" s="3">
        <v>0.57999999999999996</v>
      </c>
      <c r="K22" s="4">
        <v>0.57999999999999996</v>
      </c>
      <c r="L22" s="4">
        <v>0.57999999999999996</v>
      </c>
      <c r="M22" s="33">
        <v>1936</v>
      </c>
      <c r="N22" s="4"/>
      <c r="O22" s="26"/>
      <c r="P22" s="15"/>
      <c r="Q22" s="37" t="s">
        <v>97</v>
      </c>
      <c r="R22" s="3">
        <v>0.63</v>
      </c>
      <c r="S22" s="4">
        <v>0.63</v>
      </c>
      <c r="T22" s="4">
        <v>0.63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0.59</v>
      </c>
      <c r="C23" s="4">
        <v>0.59</v>
      </c>
      <c r="D23" s="4">
        <v>0.56000000000000005</v>
      </c>
      <c r="E23" s="33">
        <v>338</v>
      </c>
      <c r="F23" s="4"/>
      <c r="G23" s="26"/>
      <c r="H23" s="15"/>
      <c r="I23" s="37" t="s">
        <v>98</v>
      </c>
      <c r="J23" s="3">
        <v>0.57999999999999996</v>
      </c>
      <c r="K23" s="4">
        <v>0.59</v>
      </c>
      <c r="L23" s="4">
        <v>0.57999999999999996</v>
      </c>
      <c r="M23" s="33">
        <v>1936</v>
      </c>
      <c r="N23" s="4"/>
      <c r="O23" s="26"/>
      <c r="P23" s="15"/>
      <c r="Q23" s="37" t="s">
        <v>98</v>
      </c>
      <c r="R23" s="3">
        <v>0.63</v>
      </c>
      <c r="S23" s="4">
        <v>0.63</v>
      </c>
      <c r="T23" s="4">
        <v>0.62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0.62</v>
      </c>
      <c r="C27" s="2">
        <v>0.7</v>
      </c>
      <c r="D27" s="2">
        <v>0.66</v>
      </c>
      <c r="E27" s="32">
        <v>163</v>
      </c>
      <c r="F27" s="2" t="s">
        <v>57</v>
      </c>
      <c r="G27" s="5">
        <v>0.64969325153374202</v>
      </c>
      <c r="H27" s="15"/>
      <c r="I27" s="35">
        <v>0</v>
      </c>
      <c r="J27" s="1">
        <v>0.6</v>
      </c>
      <c r="K27" s="2">
        <v>0.64</v>
      </c>
      <c r="L27" s="2">
        <v>0.62</v>
      </c>
      <c r="M27" s="32">
        <v>932</v>
      </c>
      <c r="N27" s="2" t="s">
        <v>404</v>
      </c>
      <c r="O27" s="5">
        <v>0.62004129405126196</v>
      </c>
      <c r="P27" s="15"/>
      <c r="Q27" s="35">
        <v>0</v>
      </c>
      <c r="R27" s="1">
        <v>0.68</v>
      </c>
      <c r="S27" s="2">
        <v>0.5</v>
      </c>
      <c r="T27" s="2">
        <v>0.57999999999999996</v>
      </c>
      <c r="U27" s="32">
        <v>811</v>
      </c>
      <c r="V27" s="2" t="s">
        <v>456</v>
      </c>
      <c r="W27" s="5">
        <v>0.66640585094788296</v>
      </c>
    </row>
    <row r="28" spans="1:23" ht="15" customHeight="1" x14ac:dyDescent="0.15">
      <c r="A28" s="36">
        <v>1</v>
      </c>
      <c r="B28" s="3">
        <v>0.68</v>
      </c>
      <c r="C28" s="4">
        <v>0.6</v>
      </c>
      <c r="D28" s="4">
        <v>0.64</v>
      </c>
      <c r="E28" s="33">
        <v>175</v>
      </c>
      <c r="F28" s="4" t="s">
        <v>349</v>
      </c>
      <c r="G28" s="26"/>
      <c r="H28" s="15"/>
      <c r="I28" s="36">
        <v>1</v>
      </c>
      <c r="J28" s="3">
        <v>0.64</v>
      </c>
      <c r="K28" s="4">
        <v>0.6</v>
      </c>
      <c r="L28" s="4">
        <v>0.62</v>
      </c>
      <c r="M28" s="33">
        <v>1004</v>
      </c>
      <c r="N28" s="4" t="s">
        <v>405</v>
      </c>
      <c r="O28" s="26"/>
      <c r="P28" s="15"/>
      <c r="Q28" s="36">
        <v>1</v>
      </c>
      <c r="R28" s="3">
        <v>0.7</v>
      </c>
      <c r="S28" s="4">
        <v>0.83</v>
      </c>
      <c r="T28" s="4">
        <v>0.76</v>
      </c>
      <c r="U28" s="33">
        <v>1137</v>
      </c>
      <c r="V28" s="4" t="s">
        <v>439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0.65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0.62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0.69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0.65</v>
      </c>
      <c r="C30" s="4">
        <v>0.65</v>
      </c>
      <c r="D30" s="4">
        <v>0.65</v>
      </c>
      <c r="E30" s="33">
        <v>338</v>
      </c>
      <c r="F30" s="4"/>
      <c r="G30" s="26"/>
      <c r="H30" s="15"/>
      <c r="I30" s="37" t="s">
        <v>97</v>
      </c>
      <c r="J30" s="3">
        <v>0.62</v>
      </c>
      <c r="K30" s="4">
        <v>0.62</v>
      </c>
      <c r="L30" s="4">
        <v>0.62</v>
      </c>
      <c r="M30" s="33">
        <v>1936</v>
      </c>
      <c r="N30" s="4"/>
      <c r="O30" s="26"/>
      <c r="P30" s="15"/>
      <c r="Q30" s="37" t="s">
        <v>97</v>
      </c>
      <c r="R30" s="3">
        <v>0.69</v>
      </c>
      <c r="S30" s="4">
        <v>0.67</v>
      </c>
      <c r="T30" s="4">
        <v>0.67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0.65</v>
      </c>
      <c r="C31" s="4">
        <v>0.65</v>
      </c>
      <c r="D31" s="4">
        <v>0.65</v>
      </c>
      <c r="E31" s="33">
        <v>338</v>
      </c>
      <c r="F31" s="4"/>
      <c r="G31" s="26"/>
      <c r="H31" s="15"/>
      <c r="I31" s="37" t="s">
        <v>98</v>
      </c>
      <c r="J31" s="3">
        <v>0.62</v>
      </c>
      <c r="K31" s="4">
        <v>0.62</v>
      </c>
      <c r="L31" s="4">
        <v>0.62</v>
      </c>
      <c r="M31" s="33">
        <v>1936</v>
      </c>
      <c r="N31" s="4"/>
      <c r="O31" s="26"/>
      <c r="P31" s="15"/>
      <c r="Q31" s="37" t="s">
        <v>98</v>
      </c>
      <c r="R31" s="3">
        <v>0.69</v>
      </c>
      <c r="S31" s="4">
        <v>0.69</v>
      </c>
      <c r="T31" s="4">
        <v>0.68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0.56999999999999995</v>
      </c>
      <c r="C35" s="2">
        <v>0.74</v>
      </c>
      <c r="D35" s="2">
        <v>0.64</v>
      </c>
      <c r="E35" s="32">
        <v>163</v>
      </c>
      <c r="F35" s="2" t="s">
        <v>350</v>
      </c>
      <c r="G35" s="5">
        <v>0.60545135845749298</v>
      </c>
      <c r="H35" s="15"/>
      <c r="I35" s="35">
        <v>0</v>
      </c>
      <c r="J35" s="1">
        <v>0.59</v>
      </c>
      <c r="K35" s="2">
        <v>0.67</v>
      </c>
      <c r="L35" s="2">
        <v>0.63</v>
      </c>
      <c r="M35" s="32">
        <v>932</v>
      </c>
      <c r="N35" s="2" t="s">
        <v>406</v>
      </c>
      <c r="O35" s="5">
        <v>0.62104158473402504</v>
      </c>
      <c r="P35" s="15"/>
      <c r="Q35" s="35">
        <v>0</v>
      </c>
      <c r="R35" s="1">
        <v>0.62</v>
      </c>
      <c r="S35" s="2">
        <v>0.55000000000000004</v>
      </c>
      <c r="T35" s="2">
        <v>0.57999999999999996</v>
      </c>
      <c r="U35" s="32">
        <v>811</v>
      </c>
      <c r="V35" s="2" t="s">
        <v>457</v>
      </c>
      <c r="W35" s="5">
        <v>0.65544237273982298</v>
      </c>
    </row>
    <row r="36" spans="1:23" ht="15" customHeight="1" x14ac:dyDescent="0.15">
      <c r="A36" s="36">
        <v>1</v>
      </c>
      <c r="B36" s="3">
        <v>0.66</v>
      </c>
      <c r="C36" s="4">
        <v>0.47</v>
      </c>
      <c r="D36" s="4">
        <v>0.55000000000000004</v>
      </c>
      <c r="E36" s="33">
        <v>175</v>
      </c>
      <c r="F36" s="4" t="s">
        <v>351</v>
      </c>
      <c r="G36" s="26"/>
      <c r="H36" s="15"/>
      <c r="I36" s="36">
        <v>1</v>
      </c>
      <c r="J36" s="3">
        <v>0.65</v>
      </c>
      <c r="K36" s="4">
        <v>0.56999999999999995</v>
      </c>
      <c r="L36" s="4">
        <v>0.61</v>
      </c>
      <c r="M36" s="33">
        <v>1004</v>
      </c>
      <c r="N36" s="4" t="s">
        <v>407</v>
      </c>
      <c r="O36" s="26"/>
      <c r="P36" s="15"/>
      <c r="Q36" s="36">
        <v>1</v>
      </c>
      <c r="R36" s="3">
        <v>0.7</v>
      </c>
      <c r="S36" s="4">
        <v>0.76</v>
      </c>
      <c r="T36" s="4">
        <v>0.73</v>
      </c>
      <c r="U36" s="33">
        <v>1137</v>
      </c>
      <c r="V36" s="4" t="s">
        <v>458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0.67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0.61</v>
      </c>
      <c r="C38" s="4">
        <v>0.61</v>
      </c>
      <c r="D38" s="4">
        <v>0.6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0.66</v>
      </c>
      <c r="S38" s="4">
        <v>0.66</v>
      </c>
      <c r="T38" s="4">
        <v>0.66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0.62</v>
      </c>
      <c r="C39" s="4">
        <v>0.6</v>
      </c>
      <c r="D39" s="4">
        <v>0.59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0.67</v>
      </c>
      <c r="S39" s="4">
        <v>0.67</v>
      </c>
      <c r="T39" s="4">
        <v>0.67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0.51</v>
      </c>
      <c r="C43" s="2">
        <v>0.53</v>
      </c>
      <c r="D43" s="2">
        <v>0.52</v>
      </c>
      <c r="E43" s="32">
        <v>163</v>
      </c>
      <c r="F43" s="2" t="s">
        <v>352</v>
      </c>
      <c r="G43" s="5">
        <v>0.52972830850131403</v>
      </c>
      <c r="H43" s="15"/>
      <c r="I43" s="35">
        <v>0</v>
      </c>
      <c r="J43" s="1">
        <v>0.56999999999999995</v>
      </c>
      <c r="K43" s="2">
        <v>0.45</v>
      </c>
      <c r="L43" s="2">
        <v>0.5</v>
      </c>
      <c r="M43" s="32">
        <v>932</v>
      </c>
      <c r="N43" s="2" t="s">
        <v>408</v>
      </c>
      <c r="O43" s="5">
        <v>0.565078740830668</v>
      </c>
      <c r="P43" s="15"/>
      <c r="Q43" s="35">
        <v>0</v>
      </c>
      <c r="R43" s="1">
        <v>0.49</v>
      </c>
      <c r="S43" s="2">
        <v>0.88</v>
      </c>
      <c r="T43" s="2">
        <v>0.63</v>
      </c>
      <c r="U43" s="32">
        <v>811</v>
      </c>
      <c r="V43" s="2" t="s">
        <v>459</v>
      </c>
      <c r="W43" s="5">
        <v>0.61442598310174401</v>
      </c>
    </row>
    <row r="44" spans="1:23" ht="15" customHeight="1" x14ac:dyDescent="0.15">
      <c r="A44" s="36">
        <v>1</v>
      </c>
      <c r="B44" s="3">
        <v>0.55000000000000004</v>
      </c>
      <c r="C44" s="4">
        <v>0.53</v>
      </c>
      <c r="D44" s="4">
        <v>0.54</v>
      </c>
      <c r="E44" s="33">
        <v>175</v>
      </c>
      <c r="F44" s="4" t="s">
        <v>353</v>
      </c>
      <c r="G44" s="26"/>
      <c r="H44" s="15"/>
      <c r="I44" s="36">
        <v>1</v>
      </c>
      <c r="J44" s="3">
        <v>0.56999999999999995</v>
      </c>
      <c r="K44" s="4">
        <v>0.68</v>
      </c>
      <c r="L44" s="4">
        <v>0.62</v>
      </c>
      <c r="M44" s="33">
        <v>1004</v>
      </c>
      <c r="N44" s="4" t="s">
        <v>409</v>
      </c>
      <c r="O44" s="26"/>
      <c r="P44" s="15"/>
      <c r="Q44" s="36">
        <v>1</v>
      </c>
      <c r="R44" s="3">
        <v>0.8</v>
      </c>
      <c r="S44" s="4">
        <v>0.35</v>
      </c>
      <c r="T44" s="4">
        <v>0.49</v>
      </c>
      <c r="U44" s="33">
        <v>1137</v>
      </c>
      <c r="V44" s="4" t="s">
        <v>460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0.53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0.56999999999999995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0.56999999999999995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0.53</v>
      </c>
      <c r="C46" s="4">
        <v>0.53</v>
      </c>
      <c r="D46" s="4">
        <v>0.53</v>
      </c>
      <c r="E46" s="33">
        <v>338</v>
      </c>
      <c r="F46" s="4"/>
      <c r="G46" s="26"/>
      <c r="H46" s="15"/>
      <c r="I46" s="37" t="s">
        <v>97</v>
      </c>
      <c r="J46" s="3">
        <v>0.56999999999999995</v>
      </c>
      <c r="K46" s="4">
        <v>0.56999999999999995</v>
      </c>
      <c r="L46" s="4">
        <v>0.56000000000000005</v>
      </c>
      <c r="M46" s="33">
        <v>1936</v>
      </c>
      <c r="N46" s="4"/>
      <c r="O46" s="26"/>
      <c r="P46" s="15"/>
      <c r="Q46" s="37" t="s">
        <v>97</v>
      </c>
      <c r="R46" s="3">
        <v>0.65</v>
      </c>
      <c r="S46" s="4">
        <v>0.61</v>
      </c>
      <c r="T46" s="4">
        <v>0.56000000000000005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0.53</v>
      </c>
      <c r="C47" s="4">
        <v>0.53</v>
      </c>
      <c r="D47" s="4">
        <v>0.53</v>
      </c>
      <c r="E47" s="33">
        <v>338</v>
      </c>
      <c r="F47" s="4"/>
      <c r="G47" s="26"/>
      <c r="H47" s="15"/>
      <c r="I47" s="37" t="s">
        <v>98</v>
      </c>
      <c r="J47" s="3">
        <v>0.56999999999999995</v>
      </c>
      <c r="K47" s="4">
        <v>0.56999999999999995</v>
      </c>
      <c r="L47" s="4">
        <v>0.56000000000000005</v>
      </c>
      <c r="M47" s="33">
        <v>1936</v>
      </c>
      <c r="N47" s="4"/>
      <c r="O47" s="26"/>
      <c r="P47" s="15"/>
      <c r="Q47" s="37" t="s">
        <v>98</v>
      </c>
      <c r="R47" s="3">
        <v>0.67</v>
      </c>
      <c r="S47" s="4">
        <v>0.56999999999999995</v>
      </c>
      <c r="T47" s="4">
        <v>0.55000000000000004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0.56000000000000005</v>
      </c>
      <c r="C51" s="2">
        <v>0.33</v>
      </c>
      <c r="D51" s="2">
        <v>0.42</v>
      </c>
      <c r="E51" s="32">
        <v>163</v>
      </c>
      <c r="F51" s="2" t="s">
        <v>53</v>
      </c>
      <c r="G51" s="5">
        <v>0.54564417177914104</v>
      </c>
      <c r="H51" s="15"/>
      <c r="I51" s="35">
        <v>0</v>
      </c>
      <c r="J51" s="1">
        <v>0.66</v>
      </c>
      <c r="K51" s="2">
        <v>0.25</v>
      </c>
      <c r="L51" s="2">
        <v>0.37</v>
      </c>
      <c r="M51" s="32">
        <v>915</v>
      </c>
      <c r="N51" s="2" t="s">
        <v>410</v>
      </c>
      <c r="O51" s="5">
        <v>0.56953592053221103</v>
      </c>
      <c r="P51" s="15"/>
      <c r="Q51" s="35">
        <v>0</v>
      </c>
      <c r="R51" s="1">
        <v>0.64</v>
      </c>
      <c r="S51" s="2">
        <v>0.2</v>
      </c>
      <c r="T51" s="2">
        <v>0.31</v>
      </c>
      <c r="U51" s="32">
        <v>881</v>
      </c>
      <c r="V51" s="2" t="s">
        <v>461</v>
      </c>
      <c r="W51" s="5">
        <v>0.55435907692013098</v>
      </c>
    </row>
    <row r="52" spans="1:23" ht="15" customHeight="1" x14ac:dyDescent="0.15">
      <c r="A52" s="36">
        <v>1</v>
      </c>
      <c r="B52" s="3">
        <v>0.55000000000000004</v>
      </c>
      <c r="C52" s="4">
        <v>0.76</v>
      </c>
      <c r="D52" s="4">
        <v>0.64</v>
      </c>
      <c r="E52" s="33">
        <v>175</v>
      </c>
      <c r="F52" s="4" t="s">
        <v>354</v>
      </c>
      <c r="G52" s="26"/>
      <c r="H52" s="15"/>
      <c r="I52" s="36">
        <v>1</v>
      </c>
      <c r="J52" s="3">
        <v>0.56999999999999995</v>
      </c>
      <c r="K52" s="4">
        <v>0.88</v>
      </c>
      <c r="L52" s="4">
        <v>0.69</v>
      </c>
      <c r="M52" s="33">
        <v>1021</v>
      </c>
      <c r="N52" s="4" t="s">
        <v>411</v>
      </c>
      <c r="O52" s="26"/>
      <c r="P52" s="15"/>
      <c r="Q52" s="36">
        <v>1</v>
      </c>
      <c r="R52" s="3">
        <v>0.57999999999999996</v>
      </c>
      <c r="S52" s="4">
        <v>0.9</v>
      </c>
      <c r="T52" s="4">
        <v>0.71</v>
      </c>
      <c r="U52" s="33">
        <v>1067</v>
      </c>
      <c r="V52" s="4" t="s">
        <v>462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0.55000000000000004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0.59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0.56000000000000005</v>
      </c>
      <c r="C54" s="4">
        <v>0.55000000000000004</v>
      </c>
      <c r="D54" s="4">
        <v>0.53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0.56999999999999995</v>
      </c>
      <c r="L54" s="4">
        <v>0.53</v>
      </c>
      <c r="M54" s="33">
        <v>1936</v>
      </c>
      <c r="N54" s="4"/>
      <c r="O54" s="26"/>
      <c r="P54" s="15"/>
      <c r="Q54" s="37" t="s">
        <v>97</v>
      </c>
      <c r="R54" s="3">
        <v>0.61</v>
      </c>
      <c r="S54" s="4">
        <v>0.55000000000000004</v>
      </c>
      <c r="T54" s="4">
        <v>0.51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0.56000000000000005</v>
      </c>
      <c r="C55" s="4">
        <v>0.55000000000000004</v>
      </c>
      <c r="D55" s="4">
        <v>0.53</v>
      </c>
      <c r="E55" s="33">
        <v>338</v>
      </c>
      <c r="F55" s="4"/>
      <c r="G55" s="26"/>
      <c r="H55" s="15"/>
      <c r="I55" s="37" t="s">
        <v>98</v>
      </c>
      <c r="J55" s="3">
        <v>0.61</v>
      </c>
      <c r="K55" s="4">
        <v>0.59</v>
      </c>
      <c r="L55" s="4">
        <v>0.54</v>
      </c>
      <c r="M55" s="33">
        <v>1936</v>
      </c>
      <c r="N55" s="4"/>
      <c r="O55" s="26"/>
      <c r="P55" s="15"/>
      <c r="Q55" s="37" t="s">
        <v>98</v>
      </c>
      <c r="R55" s="3">
        <v>0.61</v>
      </c>
      <c r="S55" s="4">
        <v>0.59</v>
      </c>
      <c r="T55" s="4">
        <v>0.53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0.55000000000000004</v>
      </c>
      <c r="C59" s="2">
        <v>0.5</v>
      </c>
      <c r="D59" s="2">
        <v>0.53</v>
      </c>
      <c r="E59" s="32">
        <v>163</v>
      </c>
      <c r="F59" s="2" t="s">
        <v>355</v>
      </c>
      <c r="G59" s="5">
        <v>0.56010517090271605</v>
      </c>
      <c r="H59" s="15"/>
      <c r="I59" s="35">
        <v>0</v>
      </c>
      <c r="J59" s="1">
        <v>0.59</v>
      </c>
      <c r="K59" s="2">
        <v>0.42</v>
      </c>
      <c r="L59" s="2">
        <v>0.49</v>
      </c>
      <c r="M59" s="32">
        <v>915</v>
      </c>
      <c r="N59" s="2" t="s">
        <v>412</v>
      </c>
      <c r="O59" s="5">
        <v>0.58077797937305597</v>
      </c>
      <c r="P59" s="15"/>
      <c r="Q59" s="35">
        <v>0</v>
      </c>
      <c r="R59" s="1">
        <v>0.6</v>
      </c>
      <c r="S59" s="2">
        <v>0.3</v>
      </c>
      <c r="T59" s="2">
        <v>0.4</v>
      </c>
      <c r="U59" s="32">
        <v>881</v>
      </c>
      <c r="V59" s="2" t="s">
        <v>463</v>
      </c>
      <c r="W59" s="5">
        <v>0.56915705612711098</v>
      </c>
    </row>
    <row r="60" spans="1:23" ht="15" customHeight="1" x14ac:dyDescent="0.15">
      <c r="A60" s="36">
        <v>1</v>
      </c>
      <c r="B60" s="3">
        <v>0.56999999999999995</v>
      </c>
      <c r="C60" s="4">
        <v>0.62</v>
      </c>
      <c r="D60" s="4">
        <v>0.59</v>
      </c>
      <c r="E60" s="33">
        <v>175</v>
      </c>
      <c r="F60" s="4" t="s">
        <v>356</v>
      </c>
      <c r="G60" s="26"/>
      <c r="H60" s="15"/>
      <c r="I60" s="36">
        <v>1</v>
      </c>
      <c r="J60" s="3">
        <v>0.59</v>
      </c>
      <c r="K60" s="4">
        <v>0.74</v>
      </c>
      <c r="L60" s="4">
        <v>0.65</v>
      </c>
      <c r="M60" s="33">
        <v>1021</v>
      </c>
      <c r="N60" s="4" t="s">
        <v>413</v>
      </c>
      <c r="O60" s="26"/>
      <c r="P60" s="15"/>
      <c r="Q60" s="36">
        <v>1</v>
      </c>
      <c r="R60" s="3">
        <v>0.59</v>
      </c>
      <c r="S60" s="4">
        <v>0.83</v>
      </c>
      <c r="T60" s="4">
        <v>0.69</v>
      </c>
      <c r="U60" s="33">
        <v>1067</v>
      </c>
      <c r="V60" s="4" t="s">
        <v>464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0.56000000000000005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0.59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0.59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0.56000000000000005</v>
      </c>
      <c r="C62" s="4">
        <v>0.56000000000000005</v>
      </c>
      <c r="D62" s="4">
        <v>0.56000000000000005</v>
      </c>
      <c r="E62" s="33">
        <v>338</v>
      </c>
      <c r="F62" s="4"/>
      <c r="G62" s="26"/>
      <c r="H62" s="15"/>
      <c r="I62" s="37" t="s">
        <v>97</v>
      </c>
      <c r="J62" s="3">
        <v>0.59</v>
      </c>
      <c r="K62" s="4">
        <v>0.57999999999999996</v>
      </c>
      <c r="L62" s="4">
        <v>0.56999999999999995</v>
      </c>
      <c r="M62" s="33">
        <v>1936</v>
      </c>
      <c r="N62" s="4"/>
      <c r="O62" s="26"/>
      <c r="P62" s="15"/>
      <c r="Q62" s="37" t="s">
        <v>97</v>
      </c>
      <c r="R62" s="3">
        <v>0.6</v>
      </c>
      <c r="S62" s="4">
        <v>0.56999999999999995</v>
      </c>
      <c r="T62" s="4">
        <v>0.55000000000000004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0.56000000000000005</v>
      </c>
      <c r="C63" s="4">
        <v>0.56000000000000005</v>
      </c>
      <c r="D63" s="4">
        <v>0.56000000000000005</v>
      </c>
      <c r="E63" s="33">
        <v>338</v>
      </c>
      <c r="F63" s="4"/>
      <c r="G63" s="26"/>
      <c r="H63" s="15"/>
      <c r="I63" s="37" t="s">
        <v>98</v>
      </c>
      <c r="J63" s="3">
        <v>0.59</v>
      </c>
      <c r="K63" s="4">
        <v>0.59</v>
      </c>
      <c r="L63" s="4">
        <v>0.57999999999999996</v>
      </c>
      <c r="M63" s="33">
        <v>1936</v>
      </c>
      <c r="N63" s="4"/>
      <c r="O63" s="26"/>
      <c r="P63" s="15"/>
      <c r="Q63" s="37" t="s">
        <v>98</v>
      </c>
      <c r="R63" s="3">
        <v>0.6</v>
      </c>
      <c r="S63" s="4">
        <v>0.59</v>
      </c>
      <c r="T63" s="4">
        <v>0.56000000000000005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0.51</v>
      </c>
      <c r="C67" s="2">
        <v>0.55000000000000004</v>
      </c>
      <c r="D67" s="2">
        <v>0.53</v>
      </c>
      <c r="E67" s="32">
        <v>163</v>
      </c>
      <c r="F67" s="2" t="s">
        <v>344</v>
      </c>
      <c r="G67" s="5">
        <v>0.52464504820333002</v>
      </c>
      <c r="H67" s="15"/>
      <c r="I67" s="35">
        <v>0</v>
      </c>
      <c r="J67" s="1">
        <v>0.56999999999999995</v>
      </c>
      <c r="K67" s="2">
        <v>0.33</v>
      </c>
      <c r="L67" s="2">
        <v>0.42</v>
      </c>
      <c r="M67" s="32">
        <v>915</v>
      </c>
      <c r="N67" s="2" t="s">
        <v>414</v>
      </c>
      <c r="O67" s="5">
        <v>0.55440824649572096</v>
      </c>
      <c r="P67" s="15"/>
      <c r="Q67" s="35">
        <v>0</v>
      </c>
      <c r="R67" s="1">
        <v>0.55000000000000004</v>
      </c>
      <c r="S67" s="2">
        <v>0.09</v>
      </c>
      <c r="T67" s="2">
        <v>0.16</v>
      </c>
      <c r="U67" s="32">
        <v>881</v>
      </c>
      <c r="V67" s="2" t="s">
        <v>465</v>
      </c>
      <c r="W67" s="5">
        <v>0.51570912324858698</v>
      </c>
    </row>
    <row r="68" spans="1:23" ht="15" customHeight="1" x14ac:dyDescent="0.15">
      <c r="A68" s="36">
        <v>1</v>
      </c>
      <c r="B68" s="3">
        <v>0.54</v>
      </c>
      <c r="C68" s="4">
        <v>0.5</v>
      </c>
      <c r="D68" s="4">
        <v>0.52</v>
      </c>
      <c r="E68" s="33">
        <v>175</v>
      </c>
      <c r="F68" s="4" t="s">
        <v>357</v>
      </c>
      <c r="G68" s="26"/>
      <c r="H68" s="15"/>
      <c r="I68" s="36">
        <v>1</v>
      </c>
      <c r="J68" s="3">
        <v>0.56000000000000005</v>
      </c>
      <c r="K68" s="4">
        <v>0.78</v>
      </c>
      <c r="L68" s="4">
        <v>0.65</v>
      </c>
      <c r="M68" s="33">
        <v>1021</v>
      </c>
      <c r="N68" s="4" t="s">
        <v>415</v>
      </c>
      <c r="O68" s="26"/>
      <c r="P68" s="15"/>
      <c r="Q68" s="36">
        <v>1</v>
      </c>
      <c r="R68" s="3">
        <v>0.56000000000000005</v>
      </c>
      <c r="S68" s="4">
        <v>0.94</v>
      </c>
      <c r="T68" s="4">
        <v>0.7</v>
      </c>
      <c r="U68" s="33">
        <v>1067</v>
      </c>
      <c r="V68" s="4" t="s">
        <v>466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0.52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0.56999999999999995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0.56000000000000005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0.52</v>
      </c>
      <c r="C70" s="4">
        <v>0.52</v>
      </c>
      <c r="D70" s="4">
        <v>0.52</v>
      </c>
      <c r="E70" s="33">
        <v>338</v>
      </c>
      <c r="F70" s="4"/>
      <c r="G70" s="26"/>
      <c r="H70" s="15"/>
      <c r="I70" s="37" t="s">
        <v>97</v>
      </c>
      <c r="J70" s="3">
        <v>0.56999999999999995</v>
      </c>
      <c r="K70" s="4">
        <v>0.55000000000000004</v>
      </c>
      <c r="L70" s="4">
        <v>0.54</v>
      </c>
      <c r="M70" s="33">
        <v>1936</v>
      </c>
      <c r="N70" s="4"/>
      <c r="O70" s="26"/>
      <c r="P70" s="15"/>
      <c r="Q70" s="37" t="s">
        <v>97</v>
      </c>
      <c r="R70" s="3">
        <v>0.55000000000000004</v>
      </c>
      <c r="S70" s="4">
        <v>0.52</v>
      </c>
      <c r="T70" s="4">
        <v>0.43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0.53</v>
      </c>
      <c r="C71" s="4">
        <v>0.52</v>
      </c>
      <c r="D71" s="4">
        <v>0.52</v>
      </c>
      <c r="E71" s="33">
        <v>338</v>
      </c>
      <c r="F71" s="4"/>
      <c r="G71" s="26"/>
      <c r="H71" s="20"/>
      <c r="I71" s="37" t="s">
        <v>98</v>
      </c>
      <c r="J71" s="3">
        <v>0.56999999999999995</v>
      </c>
      <c r="K71" s="4">
        <v>0.56999999999999995</v>
      </c>
      <c r="L71" s="4">
        <v>0.54</v>
      </c>
      <c r="M71" s="33">
        <v>1936</v>
      </c>
      <c r="N71" s="4"/>
      <c r="O71" s="26"/>
      <c r="P71" s="20"/>
      <c r="Q71" s="37" t="s">
        <v>98</v>
      </c>
      <c r="R71" s="3">
        <v>0.55000000000000004</v>
      </c>
      <c r="S71" s="4">
        <v>0.56000000000000005</v>
      </c>
      <c r="T71" s="4">
        <v>0.46</v>
      </c>
      <c r="U71" s="33">
        <v>1948</v>
      </c>
      <c r="V71" s="4"/>
      <c r="W71" s="26"/>
    </row>
  </sheetData>
  <mergeCells count="27">
    <mergeCell ref="A1:G1"/>
    <mergeCell ref="I1:O1"/>
    <mergeCell ref="Q1:W1"/>
    <mergeCell ref="A9:G9"/>
    <mergeCell ref="I9:O9"/>
    <mergeCell ref="Q9:W9"/>
    <mergeCell ref="A17:G17"/>
    <mergeCell ref="I17:O17"/>
    <mergeCell ref="Q17:W17"/>
    <mergeCell ref="A25:G25"/>
    <mergeCell ref="I25:O25"/>
    <mergeCell ref="Q25:W25"/>
    <mergeCell ref="A33:G33"/>
    <mergeCell ref="I33:O33"/>
    <mergeCell ref="Q33:W33"/>
    <mergeCell ref="A41:G41"/>
    <mergeCell ref="I41:O41"/>
    <mergeCell ref="Q41:W41"/>
    <mergeCell ref="A65:G65"/>
    <mergeCell ref="I65:O65"/>
    <mergeCell ref="Q65:W65"/>
    <mergeCell ref="A49:G49"/>
    <mergeCell ref="I49:O49"/>
    <mergeCell ref="Q49:W49"/>
    <mergeCell ref="A57:G57"/>
    <mergeCell ref="I57:O57"/>
    <mergeCell ref="Q57:W5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F2E26-CCA6-AF48-B60A-88699696DDE2}">
  <dimension ref="A1:W71"/>
  <sheetViews>
    <sheetView topLeftCell="O41" workbookViewId="0">
      <selection activeCell="T5" sqref="T5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0.68</v>
      </c>
      <c r="C3" s="16">
        <v>0.65</v>
      </c>
      <c r="D3" s="16">
        <v>0.66</v>
      </c>
      <c r="E3" s="29">
        <v>192</v>
      </c>
      <c r="F3" s="16" t="s">
        <v>274</v>
      </c>
      <c r="G3" s="23">
        <v>0.62428652968036502</v>
      </c>
      <c r="H3" s="15"/>
      <c r="I3" s="35">
        <v>0</v>
      </c>
      <c r="J3" s="10">
        <v>0.69</v>
      </c>
      <c r="K3" s="16">
        <v>0.65</v>
      </c>
      <c r="L3" s="16">
        <v>0.66</v>
      </c>
      <c r="M3" s="29">
        <v>1075</v>
      </c>
      <c r="N3" s="16" t="s">
        <v>382</v>
      </c>
      <c r="O3" s="23">
        <v>0.63754098803446502</v>
      </c>
      <c r="P3" s="15"/>
      <c r="Q3" s="35">
        <v>0</v>
      </c>
      <c r="R3" s="10">
        <v>0.74</v>
      </c>
      <c r="S3" s="16">
        <v>0.56000000000000005</v>
      </c>
      <c r="T3" s="16">
        <v>0.64</v>
      </c>
      <c r="U3" s="29">
        <v>987</v>
      </c>
      <c r="V3" s="16" t="s">
        <v>467</v>
      </c>
      <c r="W3" s="23">
        <v>0.68077989935762195</v>
      </c>
    </row>
    <row r="4" spans="1:23" ht="15" customHeight="1" x14ac:dyDescent="0.15">
      <c r="A4" s="36">
        <v>1</v>
      </c>
      <c r="B4" s="11">
        <v>0.56000000000000005</v>
      </c>
      <c r="C4" s="12">
        <v>0.6</v>
      </c>
      <c r="D4" s="12">
        <v>0.57999999999999996</v>
      </c>
      <c r="E4" s="30">
        <v>146</v>
      </c>
      <c r="F4" s="12" t="s">
        <v>333</v>
      </c>
      <c r="G4" s="24"/>
      <c r="H4" s="15"/>
      <c r="I4" s="36">
        <v>1</v>
      </c>
      <c r="J4" s="11">
        <v>0.59</v>
      </c>
      <c r="K4" s="12">
        <v>0.63</v>
      </c>
      <c r="L4" s="12">
        <v>0.61</v>
      </c>
      <c r="M4" s="30">
        <v>861</v>
      </c>
      <c r="N4" s="12" t="s">
        <v>383</v>
      </c>
      <c r="O4" s="24"/>
      <c r="P4" s="15"/>
      <c r="Q4" s="36">
        <v>1</v>
      </c>
      <c r="R4" s="11">
        <v>0.64</v>
      </c>
      <c r="S4" s="12">
        <v>0.8</v>
      </c>
      <c r="T4" s="12">
        <v>0.71</v>
      </c>
      <c r="U4" s="30">
        <v>961</v>
      </c>
      <c r="V4" s="12" t="s">
        <v>468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0.63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0.64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0.68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0.62</v>
      </c>
      <c r="C6" s="12">
        <v>0.62</v>
      </c>
      <c r="D6" s="12">
        <v>0.62</v>
      </c>
      <c r="E6" s="30">
        <v>338</v>
      </c>
      <c r="F6" s="12"/>
      <c r="G6" s="24"/>
      <c r="H6" s="15"/>
      <c r="I6" s="37" t="s">
        <v>97</v>
      </c>
      <c r="J6" s="11">
        <v>0.64</v>
      </c>
      <c r="K6" s="12">
        <v>0.64</v>
      </c>
      <c r="L6" s="12">
        <v>0.64</v>
      </c>
      <c r="M6" s="30">
        <v>1936</v>
      </c>
      <c r="N6" s="12"/>
      <c r="O6" s="24"/>
      <c r="P6" s="15"/>
      <c r="Q6" s="37" t="s">
        <v>97</v>
      </c>
      <c r="R6" s="11">
        <v>0.69</v>
      </c>
      <c r="S6" s="12">
        <v>0.68</v>
      </c>
      <c r="T6" s="12">
        <v>0.68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0.63</v>
      </c>
      <c r="C7" s="12">
        <v>0.63</v>
      </c>
      <c r="D7" s="12">
        <v>0.63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0.64</v>
      </c>
      <c r="L7" s="12">
        <v>0.64</v>
      </c>
      <c r="M7" s="30">
        <v>1936</v>
      </c>
      <c r="N7" s="12"/>
      <c r="O7" s="24"/>
      <c r="P7" s="15"/>
      <c r="Q7" s="37" t="s">
        <v>98</v>
      </c>
      <c r="R7" s="11">
        <v>0.69</v>
      </c>
      <c r="S7" s="12">
        <v>0.68</v>
      </c>
      <c r="T7" s="12">
        <v>0.67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0.65</v>
      </c>
      <c r="C11" s="2">
        <v>0.76</v>
      </c>
      <c r="D11" s="2">
        <v>0.7</v>
      </c>
      <c r="E11" s="32">
        <v>192</v>
      </c>
      <c r="F11" s="19" t="s">
        <v>41</v>
      </c>
      <c r="G11" s="5">
        <v>0.60705622146118698</v>
      </c>
      <c r="H11" s="15"/>
      <c r="I11" s="35">
        <v>0</v>
      </c>
      <c r="J11" s="1">
        <v>0.67</v>
      </c>
      <c r="K11" s="2">
        <v>0.66</v>
      </c>
      <c r="L11" s="2">
        <v>0.67</v>
      </c>
      <c r="M11" s="32">
        <v>1075</v>
      </c>
      <c r="N11" s="19" t="s">
        <v>384</v>
      </c>
      <c r="O11" s="5">
        <v>0.6288382897118</v>
      </c>
      <c r="P11" s="15"/>
      <c r="Q11" s="35">
        <v>0</v>
      </c>
      <c r="R11" s="1">
        <v>0.69</v>
      </c>
      <c r="S11" s="2">
        <v>0.57999999999999996</v>
      </c>
      <c r="T11" s="2">
        <v>0.63</v>
      </c>
      <c r="U11" s="32">
        <v>987</v>
      </c>
      <c r="V11" s="19" t="s">
        <v>469</v>
      </c>
      <c r="W11" s="5">
        <v>0.65655867589801598</v>
      </c>
    </row>
    <row r="12" spans="1:23" ht="15" customHeight="1" x14ac:dyDescent="0.15">
      <c r="A12" s="36">
        <v>1</v>
      </c>
      <c r="B12" s="3">
        <v>0.59</v>
      </c>
      <c r="C12" s="4">
        <v>0.46</v>
      </c>
      <c r="D12" s="4">
        <v>0.52</v>
      </c>
      <c r="E12" s="33">
        <v>146</v>
      </c>
      <c r="F12" s="4" t="s">
        <v>346</v>
      </c>
      <c r="G12" s="26"/>
      <c r="H12" s="15"/>
      <c r="I12" s="36">
        <v>1</v>
      </c>
      <c r="J12" s="3">
        <v>0.57999999999999996</v>
      </c>
      <c r="K12" s="4">
        <v>0.6</v>
      </c>
      <c r="L12" s="4">
        <v>0.59</v>
      </c>
      <c r="M12" s="33">
        <v>861</v>
      </c>
      <c r="N12" s="4" t="s">
        <v>385</v>
      </c>
      <c r="O12" s="26"/>
      <c r="P12" s="15"/>
      <c r="Q12" s="36">
        <v>1</v>
      </c>
      <c r="R12" s="3">
        <v>0.63</v>
      </c>
      <c r="S12" s="4">
        <v>0.73</v>
      </c>
      <c r="T12" s="4">
        <v>0.68</v>
      </c>
      <c r="U12" s="33">
        <v>961</v>
      </c>
      <c r="V12" s="4" t="s">
        <v>470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0.63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0.63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0.66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0.62</v>
      </c>
      <c r="C14" s="4">
        <v>0.61</v>
      </c>
      <c r="D14" s="4">
        <v>0.61</v>
      </c>
      <c r="E14" s="33">
        <v>338</v>
      </c>
      <c r="F14" s="4"/>
      <c r="G14" s="26"/>
      <c r="H14" s="15"/>
      <c r="I14" s="37" t="s">
        <v>97</v>
      </c>
      <c r="J14" s="3">
        <v>0.63</v>
      </c>
      <c r="K14" s="4">
        <v>0.63</v>
      </c>
      <c r="L14" s="4">
        <v>0.63</v>
      </c>
      <c r="M14" s="33">
        <v>1936</v>
      </c>
      <c r="N14" s="4"/>
      <c r="O14" s="26"/>
      <c r="P14" s="15"/>
      <c r="Q14" s="37" t="s">
        <v>97</v>
      </c>
      <c r="R14" s="3">
        <v>0.66</v>
      </c>
      <c r="S14" s="4">
        <v>0.66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0.62</v>
      </c>
      <c r="C15" s="4">
        <v>0.63</v>
      </c>
      <c r="D15" s="4">
        <v>0.62</v>
      </c>
      <c r="E15" s="33">
        <v>338</v>
      </c>
      <c r="F15" s="4"/>
      <c r="G15" s="26"/>
      <c r="H15" s="15"/>
      <c r="I15" s="37" t="s">
        <v>98</v>
      </c>
      <c r="J15" s="3">
        <v>0.63</v>
      </c>
      <c r="K15" s="4">
        <v>0.63</v>
      </c>
      <c r="L15" s="4">
        <v>0.63</v>
      </c>
      <c r="M15" s="33">
        <v>1936</v>
      </c>
      <c r="N15" s="4"/>
      <c r="O15" s="26"/>
      <c r="P15" s="15"/>
      <c r="Q15" s="37" t="s">
        <v>98</v>
      </c>
      <c r="R15" s="3">
        <v>0.66</v>
      </c>
      <c r="S15" s="4">
        <v>0.66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</v>
      </c>
      <c r="C19" s="2">
        <v>0.84</v>
      </c>
      <c r="D19" s="2">
        <v>0.7</v>
      </c>
      <c r="E19" s="32">
        <v>192</v>
      </c>
      <c r="F19" s="2" t="s">
        <v>347</v>
      </c>
      <c r="G19" s="5">
        <v>0.55625713470319604</v>
      </c>
      <c r="H19" s="15"/>
      <c r="I19" s="35">
        <v>0</v>
      </c>
      <c r="J19" s="1">
        <v>0.61</v>
      </c>
      <c r="K19" s="2">
        <v>0.79</v>
      </c>
      <c r="L19" s="2">
        <v>0.69</v>
      </c>
      <c r="M19" s="32">
        <v>1075</v>
      </c>
      <c r="N19" s="2" t="s">
        <v>386</v>
      </c>
      <c r="O19" s="5">
        <v>0.57850957512897305</v>
      </c>
      <c r="P19" s="15"/>
      <c r="Q19" s="35">
        <v>0</v>
      </c>
      <c r="R19" s="1">
        <v>0.63</v>
      </c>
      <c r="S19" s="2">
        <v>0.41</v>
      </c>
      <c r="T19" s="2">
        <v>0.5</v>
      </c>
      <c r="U19" s="32">
        <v>987</v>
      </c>
      <c r="V19" s="2" t="s">
        <v>471</v>
      </c>
      <c r="W19" s="5">
        <v>0.58236470579552901</v>
      </c>
    </row>
    <row r="20" spans="1:23" ht="15" customHeight="1" x14ac:dyDescent="0.15">
      <c r="A20" s="36">
        <v>1</v>
      </c>
      <c r="B20" s="3">
        <v>0.56000000000000005</v>
      </c>
      <c r="C20" s="4">
        <v>0.27</v>
      </c>
      <c r="D20" s="4">
        <v>0.37</v>
      </c>
      <c r="E20" s="33">
        <v>146</v>
      </c>
      <c r="F20" s="4" t="s">
        <v>348</v>
      </c>
      <c r="G20" s="26"/>
      <c r="H20" s="15"/>
      <c r="I20" s="36">
        <v>1</v>
      </c>
      <c r="J20" s="3">
        <v>0.59</v>
      </c>
      <c r="K20" s="4">
        <v>0.36</v>
      </c>
      <c r="L20" s="4">
        <v>0.45</v>
      </c>
      <c r="M20" s="33">
        <v>861</v>
      </c>
      <c r="N20" s="4" t="s">
        <v>387</v>
      </c>
      <c r="O20" s="26"/>
      <c r="P20" s="15"/>
      <c r="Q20" s="36">
        <v>1</v>
      </c>
      <c r="R20" s="3">
        <v>0.55000000000000004</v>
      </c>
      <c r="S20" s="4">
        <v>0.75</v>
      </c>
      <c r="T20" s="4">
        <v>0.64</v>
      </c>
      <c r="U20" s="33">
        <v>961</v>
      </c>
      <c r="V20" s="4" t="s">
        <v>472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0.59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0.6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0.57999999999999996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0.57999999999999996</v>
      </c>
      <c r="C22" s="4">
        <v>0.56000000000000005</v>
      </c>
      <c r="D22" s="4">
        <v>0.54</v>
      </c>
      <c r="E22" s="33">
        <v>338</v>
      </c>
      <c r="F22" s="4"/>
      <c r="G22" s="26"/>
      <c r="H22" s="15"/>
      <c r="I22" s="37" t="s">
        <v>97</v>
      </c>
      <c r="J22" s="3">
        <v>0.6</v>
      </c>
      <c r="K22" s="4">
        <v>0.57999999999999996</v>
      </c>
      <c r="L22" s="4">
        <v>0.56999999999999995</v>
      </c>
      <c r="M22" s="33">
        <v>1936</v>
      </c>
      <c r="N22" s="4"/>
      <c r="O22" s="26"/>
      <c r="P22" s="15"/>
      <c r="Q22" s="37" t="s">
        <v>97</v>
      </c>
      <c r="R22" s="3">
        <v>0.59</v>
      </c>
      <c r="S22" s="4">
        <v>0.57999999999999996</v>
      </c>
      <c r="T22" s="4">
        <v>0.56999999999999995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0.59</v>
      </c>
      <c r="C23" s="4">
        <v>0.59</v>
      </c>
      <c r="D23" s="4">
        <v>0.56000000000000005</v>
      </c>
      <c r="E23" s="33">
        <v>338</v>
      </c>
      <c r="F23" s="4"/>
      <c r="G23" s="26"/>
      <c r="H23" s="15"/>
      <c r="I23" s="37" t="s">
        <v>98</v>
      </c>
      <c r="J23" s="3">
        <v>0.6</v>
      </c>
      <c r="K23" s="4">
        <v>0.6</v>
      </c>
      <c r="L23" s="4">
        <v>0.57999999999999996</v>
      </c>
      <c r="M23" s="33">
        <v>1936</v>
      </c>
      <c r="N23" s="4"/>
      <c r="O23" s="26"/>
      <c r="P23" s="15"/>
      <c r="Q23" s="37" t="s">
        <v>98</v>
      </c>
      <c r="R23" s="3">
        <v>0.59</v>
      </c>
      <c r="S23" s="4">
        <v>0.57999999999999996</v>
      </c>
      <c r="T23" s="4">
        <v>0.56999999999999995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0.62</v>
      </c>
      <c r="C27" s="2">
        <v>0.7</v>
      </c>
      <c r="D27" s="2">
        <v>0.66</v>
      </c>
      <c r="E27" s="32">
        <v>163</v>
      </c>
      <c r="F27" s="2" t="s">
        <v>57</v>
      </c>
      <c r="G27" s="5">
        <v>0.64969325153374202</v>
      </c>
      <c r="H27" s="15"/>
      <c r="I27" s="35">
        <v>0</v>
      </c>
      <c r="J27" s="1">
        <v>0.6</v>
      </c>
      <c r="K27" s="2">
        <v>0.65</v>
      </c>
      <c r="L27" s="2">
        <v>0.63</v>
      </c>
      <c r="M27" s="32">
        <v>932</v>
      </c>
      <c r="N27" s="2" t="s">
        <v>388</v>
      </c>
      <c r="O27" s="5">
        <v>0.628509566882683</v>
      </c>
      <c r="P27" s="15"/>
      <c r="Q27" s="35">
        <v>0</v>
      </c>
      <c r="R27" s="1">
        <v>0.67</v>
      </c>
      <c r="S27" s="2">
        <v>0.53</v>
      </c>
      <c r="T27" s="2">
        <v>0.59</v>
      </c>
      <c r="U27" s="32">
        <v>811</v>
      </c>
      <c r="V27" s="2" t="s">
        <v>438</v>
      </c>
      <c r="W27" s="5">
        <v>0.67337304672885001</v>
      </c>
    </row>
    <row r="28" spans="1:23" ht="15" customHeight="1" x14ac:dyDescent="0.15">
      <c r="A28" s="36">
        <v>1</v>
      </c>
      <c r="B28" s="3">
        <v>0.68</v>
      </c>
      <c r="C28" s="4">
        <v>0.6</v>
      </c>
      <c r="D28" s="4">
        <v>0.64</v>
      </c>
      <c r="E28" s="33">
        <v>175</v>
      </c>
      <c r="F28" s="4" t="s">
        <v>349</v>
      </c>
      <c r="G28" s="26"/>
      <c r="H28" s="15"/>
      <c r="I28" s="36">
        <v>1</v>
      </c>
      <c r="J28" s="3">
        <v>0.65</v>
      </c>
      <c r="K28" s="4">
        <v>0.6</v>
      </c>
      <c r="L28" s="4">
        <v>0.63</v>
      </c>
      <c r="M28" s="33">
        <v>1004</v>
      </c>
      <c r="N28" s="4" t="s">
        <v>389</v>
      </c>
      <c r="O28" s="26"/>
      <c r="P28" s="15"/>
      <c r="Q28" s="36">
        <v>1</v>
      </c>
      <c r="R28" s="3">
        <v>0.71</v>
      </c>
      <c r="S28" s="4">
        <v>0.82</v>
      </c>
      <c r="T28" s="4">
        <v>0.76</v>
      </c>
      <c r="U28" s="33">
        <v>1137</v>
      </c>
      <c r="V28" s="4" t="s">
        <v>265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0.65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0.65</v>
      </c>
      <c r="C30" s="4">
        <v>0.65</v>
      </c>
      <c r="D30" s="4">
        <v>0.65</v>
      </c>
      <c r="E30" s="33">
        <v>338</v>
      </c>
      <c r="F30" s="4"/>
      <c r="G30" s="26"/>
      <c r="H30" s="15"/>
      <c r="I30" s="37" t="s">
        <v>97</v>
      </c>
      <c r="J30" s="3">
        <v>0.63</v>
      </c>
      <c r="K30" s="4">
        <v>0.63</v>
      </c>
      <c r="L30" s="4">
        <v>0.63</v>
      </c>
      <c r="M30" s="33">
        <v>1936</v>
      </c>
      <c r="N30" s="4"/>
      <c r="O30" s="26"/>
      <c r="P30" s="15"/>
      <c r="Q30" s="37" t="s">
        <v>97</v>
      </c>
      <c r="R30" s="3">
        <v>0.69</v>
      </c>
      <c r="S30" s="4">
        <v>0.67</v>
      </c>
      <c r="T30" s="4">
        <v>0.68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0.65</v>
      </c>
      <c r="C31" s="4">
        <v>0.65</v>
      </c>
      <c r="D31" s="4">
        <v>0.65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0.63</v>
      </c>
      <c r="M31" s="33">
        <v>1936</v>
      </c>
      <c r="N31" s="4"/>
      <c r="O31" s="26"/>
      <c r="P31" s="15"/>
      <c r="Q31" s="37" t="s">
        <v>98</v>
      </c>
      <c r="R31" s="3">
        <v>0.69</v>
      </c>
      <c r="S31" s="4">
        <v>0.7</v>
      </c>
      <c r="T31" s="4">
        <v>0.69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0.56999999999999995</v>
      </c>
      <c r="C35" s="2">
        <v>0.74</v>
      </c>
      <c r="D35" s="2">
        <v>0.64</v>
      </c>
      <c r="E35" s="32">
        <v>163</v>
      </c>
      <c r="F35" s="2" t="s">
        <v>350</v>
      </c>
      <c r="G35" s="5">
        <v>0.60545135845749298</v>
      </c>
      <c r="H35" s="15"/>
      <c r="I35" s="35">
        <v>0</v>
      </c>
      <c r="J35" s="1">
        <v>0.6</v>
      </c>
      <c r="K35" s="2">
        <v>0.68</v>
      </c>
      <c r="L35" s="2">
        <v>0.64</v>
      </c>
      <c r="M35" s="32">
        <v>932</v>
      </c>
      <c r="N35" s="2" t="s">
        <v>390</v>
      </c>
      <c r="O35" s="5">
        <v>0.63031350990886204</v>
      </c>
      <c r="P35" s="15"/>
      <c r="Q35" s="35">
        <v>0</v>
      </c>
      <c r="R35" s="1">
        <v>0.63</v>
      </c>
      <c r="S35" s="2">
        <v>0.56000000000000005</v>
      </c>
      <c r="T35" s="2">
        <v>0.59</v>
      </c>
      <c r="U35" s="32">
        <v>811</v>
      </c>
      <c r="V35" s="2" t="s">
        <v>473</v>
      </c>
      <c r="W35" s="5">
        <v>0.66239655484667104</v>
      </c>
    </row>
    <row r="36" spans="1:23" ht="15" customHeight="1" x14ac:dyDescent="0.15">
      <c r="A36" s="36">
        <v>1</v>
      </c>
      <c r="B36" s="3">
        <v>0.66</v>
      </c>
      <c r="C36" s="4">
        <v>0.47</v>
      </c>
      <c r="D36" s="4">
        <v>0.55000000000000004</v>
      </c>
      <c r="E36" s="33">
        <v>175</v>
      </c>
      <c r="F36" s="4" t="s">
        <v>351</v>
      </c>
      <c r="G36" s="26"/>
      <c r="H36" s="15"/>
      <c r="I36" s="36">
        <v>1</v>
      </c>
      <c r="J36" s="3">
        <v>0.66</v>
      </c>
      <c r="K36" s="4">
        <v>0.57999999999999996</v>
      </c>
      <c r="L36" s="4">
        <v>0.62</v>
      </c>
      <c r="M36" s="33">
        <v>1004</v>
      </c>
      <c r="N36" s="4" t="s">
        <v>391</v>
      </c>
      <c r="O36" s="26"/>
      <c r="P36" s="15"/>
      <c r="Q36" s="36">
        <v>1</v>
      </c>
      <c r="R36" s="3">
        <v>0.71</v>
      </c>
      <c r="S36" s="4">
        <v>0.77</v>
      </c>
      <c r="T36" s="4">
        <v>0.74</v>
      </c>
      <c r="U36" s="33">
        <v>1137</v>
      </c>
      <c r="V36" s="4" t="s">
        <v>267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0.6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0.63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0.61</v>
      </c>
      <c r="C38" s="4">
        <v>0.61</v>
      </c>
      <c r="D38" s="4">
        <v>0.6</v>
      </c>
      <c r="E38" s="33">
        <v>338</v>
      </c>
      <c r="F38" s="4"/>
      <c r="G38" s="26"/>
      <c r="H38" s="15"/>
      <c r="I38" s="37" t="s">
        <v>97</v>
      </c>
      <c r="J38" s="3">
        <v>0.63</v>
      </c>
      <c r="K38" s="4">
        <v>0.63</v>
      </c>
      <c r="L38" s="4">
        <v>0.63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0.66</v>
      </c>
      <c r="T38" s="4">
        <v>0.66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0.62</v>
      </c>
      <c r="C39" s="4">
        <v>0.6</v>
      </c>
      <c r="D39" s="4">
        <v>0.59</v>
      </c>
      <c r="E39" s="33">
        <v>338</v>
      </c>
      <c r="F39" s="4"/>
      <c r="G39" s="26"/>
      <c r="H39" s="15"/>
      <c r="I39" s="37" t="s">
        <v>98</v>
      </c>
      <c r="J39" s="3">
        <v>0.63</v>
      </c>
      <c r="K39" s="4">
        <v>0.63</v>
      </c>
      <c r="L39" s="4">
        <v>0.63</v>
      </c>
      <c r="M39" s="33">
        <v>1936</v>
      </c>
      <c r="N39" s="4"/>
      <c r="O39" s="26"/>
      <c r="P39" s="15"/>
      <c r="Q39" s="37" t="s">
        <v>98</v>
      </c>
      <c r="R39" s="3">
        <v>0.68</v>
      </c>
      <c r="S39" s="4">
        <v>0.68</v>
      </c>
      <c r="T39" s="4">
        <v>0.68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0.51</v>
      </c>
      <c r="C43" s="2">
        <v>0.53</v>
      </c>
      <c r="D43" s="2">
        <v>0.52</v>
      </c>
      <c r="E43" s="32">
        <v>163</v>
      </c>
      <c r="F43" s="2" t="s">
        <v>352</v>
      </c>
      <c r="G43" s="5">
        <v>0.52972830850131403</v>
      </c>
      <c r="H43" s="15"/>
      <c r="I43" s="35">
        <v>0</v>
      </c>
      <c r="J43" s="1">
        <v>0.56999999999999995</v>
      </c>
      <c r="K43" s="2">
        <v>0.15</v>
      </c>
      <c r="L43" s="2">
        <v>0.24</v>
      </c>
      <c r="M43" s="32">
        <v>932</v>
      </c>
      <c r="N43" s="2" t="s">
        <v>392</v>
      </c>
      <c r="O43" s="5">
        <v>0.52281645948395195</v>
      </c>
      <c r="P43" s="15"/>
      <c r="Q43" s="35">
        <v>0</v>
      </c>
      <c r="R43" s="1">
        <v>0.55000000000000004</v>
      </c>
      <c r="S43" s="2">
        <v>0.13</v>
      </c>
      <c r="T43" s="2">
        <v>0.22</v>
      </c>
      <c r="U43" s="32">
        <v>811</v>
      </c>
      <c r="V43" s="2" t="s">
        <v>474</v>
      </c>
      <c r="W43" s="5">
        <v>0.52718339628698097</v>
      </c>
    </row>
    <row r="44" spans="1:23" ht="15" customHeight="1" x14ac:dyDescent="0.15">
      <c r="A44" s="36">
        <v>1</v>
      </c>
      <c r="B44" s="3">
        <v>0.55000000000000004</v>
      </c>
      <c r="C44" s="4">
        <v>0.53</v>
      </c>
      <c r="D44" s="4">
        <v>0.54</v>
      </c>
      <c r="E44" s="33">
        <v>175</v>
      </c>
      <c r="F44" s="4" t="s">
        <v>353</v>
      </c>
      <c r="G44" s="26"/>
      <c r="H44" s="15"/>
      <c r="I44" s="36">
        <v>1</v>
      </c>
      <c r="J44" s="3">
        <v>0.53</v>
      </c>
      <c r="K44" s="4">
        <v>0.9</v>
      </c>
      <c r="L44" s="4">
        <v>0.67</v>
      </c>
      <c r="M44" s="33">
        <v>1004</v>
      </c>
      <c r="N44" s="4" t="s">
        <v>393</v>
      </c>
      <c r="O44" s="26"/>
      <c r="P44" s="15"/>
      <c r="Q44" s="36">
        <v>1</v>
      </c>
      <c r="R44" s="3">
        <v>0.6</v>
      </c>
      <c r="S44" s="4">
        <v>0.92</v>
      </c>
      <c r="T44" s="4">
        <v>0.73</v>
      </c>
      <c r="U44" s="33">
        <v>1137</v>
      </c>
      <c r="V44" s="4" t="s">
        <v>475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0.53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0.54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0.59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0.53</v>
      </c>
      <c r="C46" s="4">
        <v>0.53</v>
      </c>
      <c r="D46" s="4">
        <v>0.53</v>
      </c>
      <c r="E46" s="33">
        <v>338</v>
      </c>
      <c r="F46" s="4"/>
      <c r="G46" s="26"/>
      <c r="H46" s="15"/>
      <c r="I46" s="37" t="s">
        <v>97</v>
      </c>
      <c r="J46" s="3">
        <v>0.55000000000000004</v>
      </c>
      <c r="K46" s="4">
        <v>0.52</v>
      </c>
      <c r="L46" s="4">
        <v>0.45</v>
      </c>
      <c r="M46" s="33">
        <v>1936</v>
      </c>
      <c r="N46" s="4"/>
      <c r="O46" s="26"/>
      <c r="P46" s="15"/>
      <c r="Q46" s="37" t="s">
        <v>97</v>
      </c>
      <c r="R46" s="3">
        <v>0.56999999999999995</v>
      </c>
      <c r="S46" s="4">
        <v>0.53</v>
      </c>
      <c r="T46" s="4">
        <v>0.47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0.53</v>
      </c>
      <c r="C47" s="4">
        <v>0.53</v>
      </c>
      <c r="D47" s="4">
        <v>0.53</v>
      </c>
      <c r="E47" s="33">
        <v>338</v>
      </c>
      <c r="F47" s="4"/>
      <c r="G47" s="26"/>
      <c r="H47" s="15"/>
      <c r="I47" s="37" t="s">
        <v>98</v>
      </c>
      <c r="J47" s="3">
        <v>0.55000000000000004</v>
      </c>
      <c r="K47" s="4">
        <v>0.54</v>
      </c>
      <c r="L47" s="4">
        <v>0.46</v>
      </c>
      <c r="M47" s="33">
        <v>1936</v>
      </c>
      <c r="N47" s="4"/>
      <c r="O47" s="26"/>
      <c r="P47" s="15"/>
      <c r="Q47" s="37" t="s">
        <v>98</v>
      </c>
      <c r="R47" s="3">
        <v>0.57999999999999996</v>
      </c>
      <c r="S47" s="4">
        <v>0.59</v>
      </c>
      <c r="T47" s="4">
        <v>0.51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0.56000000000000005</v>
      </c>
      <c r="C51" s="2">
        <v>0.33</v>
      </c>
      <c r="D51" s="2">
        <v>0.42</v>
      </c>
      <c r="E51" s="32">
        <v>163</v>
      </c>
      <c r="F51" s="2" t="s">
        <v>53</v>
      </c>
      <c r="G51" s="5">
        <v>0.54564417177914104</v>
      </c>
      <c r="H51" s="15"/>
      <c r="I51" s="35">
        <v>0</v>
      </c>
      <c r="J51" s="1">
        <v>0.66</v>
      </c>
      <c r="K51" s="2">
        <v>0.27</v>
      </c>
      <c r="L51" s="2">
        <v>0.38</v>
      </c>
      <c r="M51" s="32">
        <v>915</v>
      </c>
      <c r="N51" s="2" t="s">
        <v>376</v>
      </c>
      <c r="O51" s="5">
        <v>0.572608553705517</v>
      </c>
      <c r="P51" s="15"/>
      <c r="Q51" s="35">
        <v>0</v>
      </c>
      <c r="R51" s="1">
        <v>0.65</v>
      </c>
      <c r="S51" s="2">
        <v>0.25</v>
      </c>
      <c r="T51" s="2">
        <v>0.36</v>
      </c>
      <c r="U51" s="32">
        <v>881</v>
      </c>
      <c r="V51" s="2" t="s">
        <v>476</v>
      </c>
      <c r="W51" s="5">
        <v>0.57032829908077098</v>
      </c>
    </row>
    <row r="52" spans="1:23" ht="15" customHeight="1" x14ac:dyDescent="0.15">
      <c r="A52" s="36">
        <v>1</v>
      </c>
      <c r="B52" s="3">
        <v>0.55000000000000004</v>
      </c>
      <c r="C52" s="4">
        <v>0.76</v>
      </c>
      <c r="D52" s="4">
        <v>0.64</v>
      </c>
      <c r="E52" s="33">
        <v>175</v>
      </c>
      <c r="F52" s="4" t="s">
        <v>354</v>
      </c>
      <c r="G52" s="26"/>
      <c r="H52" s="15"/>
      <c r="I52" s="36">
        <v>1</v>
      </c>
      <c r="J52" s="3">
        <v>0.56999999999999995</v>
      </c>
      <c r="K52" s="4">
        <v>0.88</v>
      </c>
      <c r="L52" s="4">
        <v>0.69</v>
      </c>
      <c r="M52" s="33">
        <v>1021</v>
      </c>
      <c r="N52" s="4" t="s">
        <v>377</v>
      </c>
      <c r="O52" s="26"/>
      <c r="P52" s="15"/>
      <c r="Q52" s="36">
        <v>1</v>
      </c>
      <c r="R52" s="3">
        <v>0.59</v>
      </c>
      <c r="S52" s="4">
        <v>0.89</v>
      </c>
      <c r="T52" s="4">
        <v>0.71</v>
      </c>
      <c r="U52" s="33">
        <v>1067</v>
      </c>
      <c r="V52" s="4" t="s">
        <v>477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0.55000000000000004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0.56000000000000005</v>
      </c>
      <c r="C54" s="4">
        <v>0.55000000000000004</v>
      </c>
      <c r="D54" s="4">
        <v>0.53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0.56999999999999995</v>
      </c>
      <c r="L54" s="4">
        <v>0.54</v>
      </c>
      <c r="M54" s="33">
        <v>1936</v>
      </c>
      <c r="N54" s="4"/>
      <c r="O54" s="26"/>
      <c r="P54" s="15"/>
      <c r="Q54" s="37" t="s">
        <v>97</v>
      </c>
      <c r="R54" s="3">
        <v>0.62</v>
      </c>
      <c r="S54" s="4">
        <v>0.56999999999999995</v>
      </c>
      <c r="T54" s="4">
        <v>0.54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0.56000000000000005</v>
      </c>
      <c r="C55" s="4">
        <v>0.55000000000000004</v>
      </c>
      <c r="D55" s="4">
        <v>0.53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0.59</v>
      </c>
      <c r="L55" s="4">
        <v>0.55000000000000004</v>
      </c>
      <c r="M55" s="33">
        <v>1936</v>
      </c>
      <c r="N55" s="4"/>
      <c r="O55" s="26"/>
      <c r="P55" s="15"/>
      <c r="Q55" s="37" t="s">
        <v>98</v>
      </c>
      <c r="R55" s="3">
        <v>0.62</v>
      </c>
      <c r="S55" s="4">
        <v>0.6</v>
      </c>
      <c r="T55" s="4">
        <v>0.55000000000000004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0.55000000000000004</v>
      </c>
      <c r="C59" s="2">
        <v>0.5</v>
      </c>
      <c r="D59" s="2">
        <v>0.53</v>
      </c>
      <c r="E59" s="32">
        <v>163</v>
      </c>
      <c r="F59" s="2" t="s">
        <v>355</v>
      </c>
      <c r="G59" s="5">
        <v>0.56010517090271605</v>
      </c>
      <c r="H59" s="15"/>
      <c r="I59" s="35">
        <v>0</v>
      </c>
      <c r="J59" s="1">
        <v>0.61</v>
      </c>
      <c r="K59" s="2">
        <v>0.42</v>
      </c>
      <c r="L59" s="2">
        <v>0.5</v>
      </c>
      <c r="M59" s="32">
        <v>915</v>
      </c>
      <c r="N59" s="2" t="s">
        <v>394</v>
      </c>
      <c r="O59" s="5">
        <v>0.59034537017709998</v>
      </c>
      <c r="P59" s="15"/>
      <c r="Q59" s="35">
        <v>0</v>
      </c>
      <c r="R59" s="1">
        <v>0.59</v>
      </c>
      <c r="S59" s="2">
        <v>0.32</v>
      </c>
      <c r="T59" s="2">
        <v>0.42</v>
      </c>
      <c r="U59" s="32">
        <v>881</v>
      </c>
      <c r="V59" s="2" t="s">
        <v>478</v>
      </c>
      <c r="W59" s="5">
        <v>0.570937856040305</v>
      </c>
    </row>
    <row r="60" spans="1:23" ht="15" customHeight="1" x14ac:dyDescent="0.15">
      <c r="A60" s="36">
        <v>1</v>
      </c>
      <c r="B60" s="3">
        <v>0.56999999999999995</v>
      </c>
      <c r="C60" s="4">
        <v>0.62</v>
      </c>
      <c r="D60" s="4">
        <v>0.59</v>
      </c>
      <c r="E60" s="33">
        <v>175</v>
      </c>
      <c r="F60" s="4" t="s">
        <v>356</v>
      </c>
      <c r="G60" s="26"/>
      <c r="H60" s="15"/>
      <c r="I60" s="36">
        <v>1</v>
      </c>
      <c r="J60" s="3">
        <v>0.59</v>
      </c>
      <c r="K60" s="4">
        <v>0.76</v>
      </c>
      <c r="L60" s="4">
        <v>0.67</v>
      </c>
      <c r="M60" s="33">
        <v>1021</v>
      </c>
      <c r="N60" s="4" t="s">
        <v>395</v>
      </c>
      <c r="O60" s="26"/>
      <c r="P60" s="15"/>
      <c r="Q60" s="36">
        <v>1</v>
      </c>
      <c r="R60" s="3">
        <v>0.59</v>
      </c>
      <c r="S60" s="4">
        <v>0.82</v>
      </c>
      <c r="T60" s="4">
        <v>0.69</v>
      </c>
      <c r="U60" s="33">
        <v>1067</v>
      </c>
      <c r="V60" s="4" t="s">
        <v>479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0.56000000000000005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0.6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0.59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0.56000000000000005</v>
      </c>
      <c r="C62" s="4">
        <v>0.56000000000000005</v>
      </c>
      <c r="D62" s="4">
        <v>0.56000000000000005</v>
      </c>
      <c r="E62" s="33">
        <v>338</v>
      </c>
      <c r="F62" s="4"/>
      <c r="G62" s="26"/>
      <c r="H62" s="15"/>
      <c r="I62" s="37" t="s">
        <v>97</v>
      </c>
      <c r="J62" s="3">
        <v>0.6</v>
      </c>
      <c r="K62" s="4">
        <v>0.59</v>
      </c>
      <c r="L62" s="4">
        <v>0.57999999999999996</v>
      </c>
      <c r="M62" s="33">
        <v>1936</v>
      </c>
      <c r="N62" s="4"/>
      <c r="O62" s="26"/>
      <c r="P62" s="15"/>
      <c r="Q62" s="37" t="s">
        <v>97</v>
      </c>
      <c r="R62" s="3">
        <v>0.59</v>
      </c>
      <c r="S62" s="4">
        <v>0.56999999999999995</v>
      </c>
      <c r="T62" s="4">
        <v>0.55000000000000004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0.56000000000000005</v>
      </c>
      <c r="C63" s="4">
        <v>0.56000000000000005</v>
      </c>
      <c r="D63" s="4">
        <v>0.56000000000000005</v>
      </c>
      <c r="E63" s="33">
        <v>338</v>
      </c>
      <c r="F63" s="4"/>
      <c r="G63" s="26"/>
      <c r="H63" s="15"/>
      <c r="I63" s="37" t="s">
        <v>98</v>
      </c>
      <c r="J63" s="3">
        <v>0.6</v>
      </c>
      <c r="K63" s="4">
        <v>0.6</v>
      </c>
      <c r="L63" s="4">
        <v>0.59</v>
      </c>
      <c r="M63" s="33">
        <v>1936</v>
      </c>
      <c r="N63" s="4"/>
      <c r="O63" s="26"/>
      <c r="P63" s="15"/>
      <c r="Q63" s="37" t="s">
        <v>98</v>
      </c>
      <c r="R63" s="3">
        <v>0.59</v>
      </c>
      <c r="S63" s="4">
        <v>0.59</v>
      </c>
      <c r="T63" s="4">
        <v>0.56999999999999995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0.51</v>
      </c>
      <c r="C67" s="2">
        <v>0.55000000000000004</v>
      </c>
      <c r="D67" s="2">
        <v>0.53</v>
      </c>
      <c r="E67" s="32">
        <v>163</v>
      </c>
      <c r="F67" s="2" t="s">
        <v>344</v>
      </c>
      <c r="G67" s="5">
        <v>0.52464504820333002</v>
      </c>
      <c r="H67" s="15"/>
      <c r="I67" s="35">
        <v>0</v>
      </c>
      <c r="J67" s="1">
        <v>0.49</v>
      </c>
      <c r="K67" s="2">
        <v>0.89</v>
      </c>
      <c r="L67" s="2">
        <v>0.63</v>
      </c>
      <c r="M67" s="32">
        <v>915</v>
      </c>
      <c r="N67" s="2" t="s">
        <v>396</v>
      </c>
      <c r="O67" s="5">
        <v>0.52278704580851298</v>
      </c>
      <c r="P67" s="15"/>
      <c r="Q67" s="35">
        <v>0</v>
      </c>
      <c r="R67" s="1">
        <v>0.59</v>
      </c>
      <c r="S67" s="2">
        <v>0.38</v>
      </c>
      <c r="T67" s="2">
        <v>0.47</v>
      </c>
      <c r="U67" s="32">
        <v>881</v>
      </c>
      <c r="V67" s="2" t="s">
        <v>480</v>
      </c>
      <c r="W67" s="5">
        <v>0.58133596162663403</v>
      </c>
    </row>
    <row r="68" spans="1:23" ht="15" customHeight="1" x14ac:dyDescent="0.15">
      <c r="A68" s="36">
        <v>1</v>
      </c>
      <c r="B68" s="3">
        <v>0.54</v>
      </c>
      <c r="C68" s="4">
        <v>0.5</v>
      </c>
      <c r="D68" s="4">
        <v>0.52</v>
      </c>
      <c r="E68" s="33">
        <v>175</v>
      </c>
      <c r="F68" s="4" t="s">
        <v>357</v>
      </c>
      <c r="G68" s="26"/>
      <c r="H68" s="15"/>
      <c r="I68" s="36">
        <v>1</v>
      </c>
      <c r="J68" s="3">
        <v>0.61</v>
      </c>
      <c r="K68" s="4">
        <v>0.15</v>
      </c>
      <c r="L68" s="4">
        <v>0.25</v>
      </c>
      <c r="M68" s="33">
        <v>1021</v>
      </c>
      <c r="N68" s="4" t="s">
        <v>397</v>
      </c>
      <c r="O68" s="26"/>
      <c r="P68" s="15"/>
      <c r="Q68" s="36">
        <v>1</v>
      </c>
      <c r="R68" s="3">
        <v>0.6</v>
      </c>
      <c r="S68" s="4">
        <v>0.78</v>
      </c>
      <c r="T68" s="4">
        <v>0.68</v>
      </c>
      <c r="U68" s="33">
        <v>1067</v>
      </c>
      <c r="V68" s="4" t="s">
        <v>481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0.52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0.6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0.52</v>
      </c>
      <c r="C70" s="4">
        <v>0.52</v>
      </c>
      <c r="D70" s="4">
        <v>0.52</v>
      </c>
      <c r="E70" s="33">
        <v>338</v>
      </c>
      <c r="F70" s="4"/>
      <c r="G70" s="26"/>
      <c r="H70" s="15"/>
      <c r="I70" s="37" t="s">
        <v>97</v>
      </c>
      <c r="J70" s="3">
        <v>0.55000000000000004</v>
      </c>
      <c r="K70" s="4">
        <v>0.52</v>
      </c>
      <c r="L70" s="4">
        <v>0.44</v>
      </c>
      <c r="M70" s="33">
        <v>1936</v>
      </c>
      <c r="N70" s="4"/>
      <c r="O70" s="26"/>
      <c r="P70" s="15"/>
      <c r="Q70" s="37" t="s">
        <v>97</v>
      </c>
      <c r="R70" s="3">
        <v>0.6</v>
      </c>
      <c r="S70" s="4">
        <v>0.57999999999999996</v>
      </c>
      <c r="T70" s="4">
        <v>0.56999999999999995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0.53</v>
      </c>
      <c r="C71" s="4">
        <v>0.52</v>
      </c>
      <c r="D71" s="4">
        <v>0.52</v>
      </c>
      <c r="E71" s="33">
        <v>338</v>
      </c>
      <c r="F71" s="4"/>
      <c r="G71" s="26"/>
      <c r="H71" s="20"/>
      <c r="I71" s="37" t="s">
        <v>98</v>
      </c>
      <c r="J71" s="3">
        <v>0.55000000000000004</v>
      </c>
      <c r="K71" s="4">
        <v>0.5</v>
      </c>
      <c r="L71" s="4">
        <v>0.43</v>
      </c>
      <c r="M71" s="33">
        <v>1936</v>
      </c>
      <c r="N71" s="4"/>
      <c r="O71" s="26"/>
      <c r="P71" s="20"/>
      <c r="Q71" s="37" t="s">
        <v>98</v>
      </c>
      <c r="R71" s="3">
        <v>0.6</v>
      </c>
      <c r="S71" s="4">
        <v>0.6</v>
      </c>
      <c r="T71" s="4">
        <v>0.57999999999999996</v>
      </c>
      <c r="U71" s="33">
        <v>1948</v>
      </c>
      <c r="V71" s="4"/>
      <c r="W71" s="26"/>
    </row>
  </sheetData>
  <mergeCells count="27">
    <mergeCell ref="A1:G1"/>
    <mergeCell ref="I1:O1"/>
    <mergeCell ref="Q1:W1"/>
    <mergeCell ref="A9:G9"/>
    <mergeCell ref="I9:O9"/>
    <mergeCell ref="Q9:W9"/>
    <mergeCell ref="A17:G17"/>
    <mergeCell ref="I17:O17"/>
    <mergeCell ref="Q17:W17"/>
    <mergeCell ref="A25:G25"/>
    <mergeCell ref="I25:O25"/>
    <mergeCell ref="Q25:W25"/>
    <mergeCell ref="A33:G33"/>
    <mergeCell ref="I33:O33"/>
    <mergeCell ref="Q33:W33"/>
    <mergeCell ref="A41:G41"/>
    <mergeCell ref="I41:O41"/>
    <mergeCell ref="Q41:W41"/>
    <mergeCell ref="A65:G65"/>
    <mergeCell ref="I65:O65"/>
    <mergeCell ref="Q65:W65"/>
    <mergeCell ref="A49:G49"/>
    <mergeCell ref="I49:O49"/>
    <mergeCell ref="Q49:W49"/>
    <mergeCell ref="A57:G57"/>
    <mergeCell ref="I57:O57"/>
    <mergeCell ref="Q57:W5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5E1B-9E6F-EC4B-A9B6-82FFF12A6060}">
  <dimension ref="A1:W71"/>
  <sheetViews>
    <sheetView topLeftCell="N42" zoomScale="85" zoomScaleNormal="75" workbookViewId="0">
      <selection activeCell="T53" sqref="T53"/>
    </sheetView>
  </sheetViews>
  <sheetFormatPr baseColWidth="10" defaultColWidth="16.33203125" defaultRowHeight="13" x14ac:dyDescent="0.15"/>
  <cols>
    <col min="1" max="1" width="16.33203125" style="34"/>
    <col min="2" max="4" width="16.33203125" style="7"/>
    <col min="5" max="5" width="16.33203125" style="34"/>
    <col min="6" max="6" width="16.33203125" style="7"/>
    <col min="7" max="7" width="18" style="27" customWidth="1"/>
    <col min="8" max="8" width="16.33203125" style="7"/>
    <col min="9" max="9" width="16.33203125" style="34"/>
    <col min="10" max="12" width="16.33203125" style="7"/>
    <col min="13" max="13" width="16.33203125" style="34"/>
    <col min="14" max="14" width="16.33203125" style="7"/>
    <col min="15" max="15" width="18" style="27" customWidth="1"/>
    <col min="16" max="16" width="16.33203125" style="7"/>
    <col min="17" max="17" width="16.33203125" style="34"/>
    <col min="18" max="20" width="16.33203125" style="7"/>
    <col min="21" max="21" width="16.33203125" style="34"/>
    <col min="22" max="22" width="16.33203125" style="7"/>
    <col min="23" max="23" width="18" style="27" customWidth="1"/>
    <col min="24" max="16384" width="16.33203125" style="7"/>
  </cols>
  <sheetData>
    <row r="1" spans="1:23" ht="15" customHeight="1" x14ac:dyDescent="0.15">
      <c r="A1" s="41" t="s">
        <v>0</v>
      </c>
      <c r="B1" s="42"/>
      <c r="C1" s="42"/>
      <c r="D1" s="42"/>
      <c r="E1" s="42"/>
      <c r="F1" s="42"/>
      <c r="G1" s="42"/>
      <c r="H1" s="13"/>
      <c r="I1" s="41" t="s">
        <v>1</v>
      </c>
      <c r="J1" s="42"/>
      <c r="K1" s="42"/>
      <c r="L1" s="42"/>
      <c r="M1" s="42"/>
      <c r="N1" s="42"/>
      <c r="O1" s="42"/>
      <c r="P1" s="13"/>
      <c r="Q1" s="41" t="s">
        <v>2</v>
      </c>
      <c r="R1" s="42"/>
      <c r="S1" s="42"/>
      <c r="T1" s="42"/>
      <c r="U1" s="42"/>
      <c r="V1" s="42"/>
      <c r="W1" s="42"/>
    </row>
    <row r="2" spans="1:23" ht="15" customHeight="1" x14ac:dyDescent="0.15">
      <c r="A2" s="28"/>
      <c r="B2" s="14" t="s">
        <v>3</v>
      </c>
      <c r="C2" s="14" t="s">
        <v>4</v>
      </c>
      <c r="D2" s="14" t="s">
        <v>5</v>
      </c>
      <c r="E2" s="28" t="s">
        <v>6</v>
      </c>
      <c r="F2" s="14" t="s">
        <v>7</v>
      </c>
      <c r="G2" s="22" t="s">
        <v>8</v>
      </c>
      <c r="H2" s="15"/>
      <c r="I2" s="28"/>
      <c r="J2" s="14" t="s">
        <v>3</v>
      </c>
      <c r="K2" s="14" t="s">
        <v>4</v>
      </c>
      <c r="L2" s="14" t="s">
        <v>5</v>
      </c>
      <c r="M2" s="28" t="s">
        <v>6</v>
      </c>
      <c r="N2" s="14" t="s">
        <v>7</v>
      </c>
      <c r="O2" s="22" t="s">
        <v>8</v>
      </c>
      <c r="P2" s="15"/>
      <c r="Q2" s="28"/>
      <c r="R2" s="14" t="s">
        <v>3</v>
      </c>
      <c r="S2" s="14" t="s">
        <v>4</v>
      </c>
      <c r="T2" s="14" t="s">
        <v>5</v>
      </c>
      <c r="U2" s="28" t="s">
        <v>6</v>
      </c>
      <c r="V2" s="14" t="s">
        <v>7</v>
      </c>
      <c r="W2" s="22" t="s">
        <v>8</v>
      </c>
    </row>
    <row r="3" spans="1:23" ht="15" customHeight="1" x14ac:dyDescent="0.15">
      <c r="A3" s="35">
        <v>0</v>
      </c>
      <c r="B3" s="10">
        <v>0.69</v>
      </c>
      <c r="C3" s="16">
        <v>0.67</v>
      </c>
      <c r="D3" s="16">
        <v>0.68</v>
      </c>
      <c r="E3" s="29">
        <v>192</v>
      </c>
      <c r="F3" s="16" t="s">
        <v>332</v>
      </c>
      <c r="G3" s="23">
        <v>0.63730736301369795</v>
      </c>
      <c r="H3" s="15"/>
      <c r="I3" s="35">
        <v>0</v>
      </c>
      <c r="J3" s="10">
        <v>0.68</v>
      </c>
      <c r="K3" s="16">
        <v>0.63</v>
      </c>
      <c r="L3" s="16">
        <v>0.66</v>
      </c>
      <c r="M3" s="29">
        <v>1075</v>
      </c>
      <c r="N3" s="16" t="s">
        <v>242</v>
      </c>
      <c r="O3" s="23">
        <v>0.63335224049914896</v>
      </c>
      <c r="P3" s="15"/>
      <c r="Q3" s="35">
        <v>0</v>
      </c>
      <c r="R3" s="10">
        <v>0.75</v>
      </c>
      <c r="S3" s="16">
        <v>0.54</v>
      </c>
      <c r="T3" s="16">
        <v>0.63</v>
      </c>
      <c r="U3" s="29">
        <v>987</v>
      </c>
      <c r="V3" s="16" t="s">
        <v>134</v>
      </c>
      <c r="W3" s="23">
        <v>0.67735715181859402</v>
      </c>
    </row>
    <row r="4" spans="1:23" ht="15" customHeight="1" x14ac:dyDescent="0.15">
      <c r="A4" s="36">
        <v>1</v>
      </c>
      <c r="B4" s="11">
        <v>0.57999999999999996</v>
      </c>
      <c r="C4" s="12">
        <v>0.6</v>
      </c>
      <c r="D4" s="12">
        <v>0.59</v>
      </c>
      <c r="E4" s="30">
        <v>146</v>
      </c>
      <c r="F4" s="12" t="s">
        <v>333</v>
      </c>
      <c r="G4" s="24"/>
      <c r="H4" s="15"/>
      <c r="I4" s="36">
        <v>1</v>
      </c>
      <c r="J4" s="11">
        <v>0.57999999999999996</v>
      </c>
      <c r="K4" s="12">
        <v>0.63</v>
      </c>
      <c r="L4" s="12">
        <v>0.61</v>
      </c>
      <c r="M4" s="30">
        <v>861</v>
      </c>
      <c r="N4" s="12" t="s">
        <v>243</v>
      </c>
      <c r="O4" s="24"/>
      <c r="P4" s="15"/>
      <c r="Q4" s="36">
        <v>1</v>
      </c>
      <c r="R4" s="11">
        <v>0.63</v>
      </c>
      <c r="S4" s="12">
        <v>0.81</v>
      </c>
      <c r="T4" s="12">
        <v>0.71</v>
      </c>
      <c r="U4" s="30">
        <v>961</v>
      </c>
      <c r="V4" s="12" t="s">
        <v>482</v>
      </c>
      <c r="W4" s="24"/>
    </row>
    <row r="5" spans="1:23" ht="15" customHeight="1" x14ac:dyDescent="0.15">
      <c r="A5" s="37" t="s">
        <v>95</v>
      </c>
      <c r="B5" s="11" t="s">
        <v>96</v>
      </c>
      <c r="C5" s="12" t="s">
        <v>96</v>
      </c>
      <c r="D5" s="21">
        <v>0.64</v>
      </c>
      <c r="E5" s="30">
        <v>338</v>
      </c>
      <c r="F5" s="12"/>
      <c r="G5" s="24"/>
      <c r="H5" s="15"/>
      <c r="I5" s="37" t="s">
        <v>95</v>
      </c>
      <c r="J5" s="11" t="s">
        <v>96</v>
      </c>
      <c r="K5" s="12" t="s">
        <v>96</v>
      </c>
      <c r="L5" s="21">
        <v>0.63</v>
      </c>
      <c r="M5" s="30">
        <v>1936</v>
      </c>
      <c r="N5" s="12"/>
      <c r="O5" s="24"/>
      <c r="P5" s="15"/>
      <c r="Q5" s="37" t="s">
        <v>95</v>
      </c>
      <c r="R5" s="11" t="s">
        <v>96</v>
      </c>
      <c r="S5" s="12" t="s">
        <v>96</v>
      </c>
      <c r="T5" s="21">
        <v>0.68</v>
      </c>
      <c r="U5" s="30">
        <v>1948</v>
      </c>
      <c r="V5" s="12"/>
      <c r="W5" s="24"/>
    </row>
    <row r="6" spans="1:23" ht="15" customHeight="1" x14ac:dyDescent="0.15">
      <c r="A6" s="37" t="s">
        <v>97</v>
      </c>
      <c r="B6" s="11">
        <v>0.64</v>
      </c>
      <c r="C6" s="12">
        <v>0.64</v>
      </c>
      <c r="D6" s="12">
        <v>0.64</v>
      </c>
      <c r="E6" s="30">
        <v>338</v>
      </c>
      <c r="F6" s="12"/>
      <c r="G6" s="24"/>
      <c r="H6" s="15"/>
      <c r="I6" s="37" t="s">
        <v>97</v>
      </c>
      <c r="J6" s="11">
        <v>0.63</v>
      </c>
      <c r="K6" s="12">
        <v>0.63</v>
      </c>
      <c r="L6" s="12">
        <v>0.63</v>
      </c>
      <c r="M6" s="30">
        <v>1936</v>
      </c>
      <c r="N6" s="12"/>
      <c r="O6" s="24"/>
      <c r="P6" s="15"/>
      <c r="Q6" s="37" t="s">
        <v>97</v>
      </c>
      <c r="R6" s="11">
        <v>0.69</v>
      </c>
      <c r="S6" s="12">
        <v>0.68</v>
      </c>
      <c r="T6" s="12">
        <v>0.67</v>
      </c>
      <c r="U6" s="30">
        <v>1948</v>
      </c>
      <c r="V6" s="12"/>
      <c r="W6" s="24"/>
    </row>
    <row r="7" spans="1:23" ht="15" customHeight="1" x14ac:dyDescent="0.15">
      <c r="A7" s="37" t="s">
        <v>98</v>
      </c>
      <c r="B7" s="11">
        <v>0.64</v>
      </c>
      <c r="C7" s="12">
        <v>0.64</v>
      </c>
      <c r="D7" s="12">
        <v>0.64</v>
      </c>
      <c r="E7" s="30">
        <v>338</v>
      </c>
      <c r="F7" s="12"/>
      <c r="G7" s="24"/>
      <c r="H7" s="15"/>
      <c r="I7" s="37" t="s">
        <v>98</v>
      </c>
      <c r="J7" s="11">
        <v>0.64</v>
      </c>
      <c r="K7" s="12">
        <v>0.63</v>
      </c>
      <c r="L7" s="12">
        <v>0.63</v>
      </c>
      <c r="M7" s="30">
        <v>1936</v>
      </c>
      <c r="N7" s="12"/>
      <c r="O7" s="24"/>
      <c r="P7" s="15"/>
      <c r="Q7" s="37" t="s">
        <v>98</v>
      </c>
      <c r="R7" s="11">
        <v>0.69</v>
      </c>
      <c r="S7" s="12">
        <v>0.68</v>
      </c>
      <c r="T7" s="12">
        <v>0.67</v>
      </c>
      <c r="U7" s="30">
        <v>1948</v>
      </c>
      <c r="V7" s="12"/>
      <c r="W7" s="24"/>
    </row>
    <row r="8" spans="1:23" ht="15" customHeight="1" x14ac:dyDescent="0.15">
      <c r="A8" s="38"/>
      <c r="B8" s="17"/>
      <c r="C8" s="17"/>
      <c r="D8" s="17"/>
      <c r="E8" s="31"/>
      <c r="F8" s="17"/>
      <c r="G8" s="25"/>
      <c r="H8" s="18"/>
      <c r="I8" s="38"/>
      <c r="J8" s="17"/>
      <c r="K8" s="17"/>
      <c r="L8" s="17"/>
      <c r="M8" s="31"/>
      <c r="N8" s="17"/>
      <c r="O8" s="25"/>
      <c r="P8" s="18"/>
      <c r="Q8" s="38"/>
      <c r="R8" s="17"/>
      <c r="S8" s="17"/>
      <c r="T8" s="17"/>
      <c r="U8" s="31"/>
      <c r="V8" s="17"/>
      <c r="W8" s="25"/>
    </row>
    <row r="9" spans="1:23" ht="15" customHeight="1" x14ac:dyDescent="0.15">
      <c r="A9" s="43" t="s">
        <v>9</v>
      </c>
      <c r="B9" s="44"/>
      <c r="C9" s="44"/>
      <c r="D9" s="44"/>
      <c r="E9" s="44"/>
      <c r="F9" s="44"/>
      <c r="G9" s="44"/>
      <c r="H9" s="18"/>
      <c r="I9" s="43" t="s">
        <v>10</v>
      </c>
      <c r="J9" s="44"/>
      <c r="K9" s="44"/>
      <c r="L9" s="44"/>
      <c r="M9" s="44"/>
      <c r="N9" s="44"/>
      <c r="O9" s="44"/>
      <c r="P9" s="18"/>
      <c r="Q9" s="43" t="s">
        <v>11</v>
      </c>
      <c r="R9" s="44"/>
      <c r="S9" s="44"/>
      <c r="T9" s="44"/>
      <c r="U9" s="44"/>
      <c r="V9" s="44"/>
      <c r="W9" s="44"/>
    </row>
    <row r="10" spans="1:23" ht="15" customHeight="1" x14ac:dyDescent="0.15">
      <c r="A10" s="28"/>
      <c r="B10" s="14" t="s">
        <v>3</v>
      </c>
      <c r="C10" s="14" t="s">
        <v>4</v>
      </c>
      <c r="D10" s="14" t="s">
        <v>5</v>
      </c>
      <c r="E10" s="28" t="s">
        <v>6</v>
      </c>
      <c r="F10" s="14" t="s">
        <v>7</v>
      </c>
      <c r="G10" s="22" t="s">
        <v>8</v>
      </c>
      <c r="H10" s="15"/>
      <c r="I10" s="28"/>
      <c r="J10" s="14" t="s">
        <v>3</v>
      </c>
      <c r="K10" s="14" t="s">
        <v>4</v>
      </c>
      <c r="L10" s="14" t="s">
        <v>5</v>
      </c>
      <c r="M10" s="28" t="s">
        <v>6</v>
      </c>
      <c r="N10" s="14" t="s">
        <v>7</v>
      </c>
      <c r="O10" s="22" t="s">
        <v>8</v>
      </c>
      <c r="P10" s="15"/>
      <c r="Q10" s="28"/>
      <c r="R10" s="14" t="s">
        <v>3</v>
      </c>
      <c r="S10" s="14" t="s">
        <v>4</v>
      </c>
      <c r="T10" s="14" t="s">
        <v>5</v>
      </c>
      <c r="U10" s="28" t="s">
        <v>6</v>
      </c>
      <c r="V10" s="14" t="s">
        <v>7</v>
      </c>
      <c r="W10" s="22" t="s">
        <v>8</v>
      </c>
    </row>
    <row r="11" spans="1:23" ht="15" customHeight="1" x14ac:dyDescent="0.15">
      <c r="A11" s="35">
        <v>0</v>
      </c>
      <c r="B11" s="1">
        <v>0.67</v>
      </c>
      <c r="C11" s="2">
        <v>0.73</v>
      </c>
      <c r="D11" s="2">
        <v>0.7</v>
      </c>
      <c r="E11" s="32">
        <v>192</v>
      </c>
      <c r="F11" s="19" t="s">
        <v>176</v>
      </c>
      <c r="G11" s="5">
        <v>0.62746147260273899</v>
      </c>
      <c r="H11" s="15"/>
      <c r="I11" s="35">
        <v>0</v>
      </c>
      <c r="J11" s="1">
        <v>0.67</v>
      </c>
      <c r="K11" s="2">
        <v>0.66</v>
      </c>
      <c r="L11" s="2">
        <v>0.66</v>
      </c>
      <c r="M11" s="32">
        <v>1075</v>
      </c>
      <c r="N11" s="19" t="s">
        <v>368</v>
      </c>
      <c r="O11" s="5">
        <v>0.62779245333981504</v>
      </c>
      <c r="P11" s="15"/>
      <c r="Q11" s="35">
        <v>0</v>
      </c>
      <c r="R11" s="1">
        <v>0.69</v>
      </c>
      <c r="S11" s="2">
        <v>0.56999999999999995</v>
      </c>
      <c r="T11" s="2">
        <v>0.63</v>
      </c>
      <c r="U11" s="32">
        <v>987</v>
      </c>
      <c r="V11" s="19" t="s">
        <v>452</v>
      </c>
      <c r="W11" s="5">
        <v>0.655121153560279</v>
      </c>
    </row>
    <row r="12" spans="1:23" ht="15" customHeight="1" x14ac:dyDescent="0.15">
      <c r="A12" s="36">
        <v>1</v>
      </c>
      <c r="B12" s="3">
        <v>0.6</v>
      </c>
      <c r="C12" s="4">
        <v>0.52</v>
      </c>
      <c r="D12" s="4">
        <v>0.56000000000000005</v>
      </c>
      <c r="E12" s="33">
        <v>146</v>
      </c>
      <c r="F12" s="4" t="s">
        <v>334</v>
      </c>
      <c r="G12" s="26"/>
      <c r="H12" s="15"/>
      <c r="I12" s="36">
        <v>1</v>
      </c>
      <c r="J12" s="3">
        <v>0.57999999999999996</v>
      </c>
      <c r="K12" s="4">
        <v>0.6</v>
      </c>
      <c r="L12" s="4">
        <v>0.59</v>
      </c>
      <c r="M12" s="33">
        <v>861</v>
      </c>
      <c r="N12" s="4" t="s">
        <v>369</v>
      </c>
      <c r="O12" s="26"/>
      <c r="P12" s="15"/>
      <c r="Q12" s="36">
        <v>1</v>
      </c>
      <c r="R12" s="3">
        <v>0.63</v>
      </c>
      <c r="S12" s="4">
        <v>0.74</v>
      </c>
      <c r="T12" s="4">
        <v>0.68</v>
      </c>
      <c r="U12" s="33">
        <v>961</v>
      </c>
      <c r="V12" s="4" t="s">
        <v>483</v>
      </c>
      <c r="W12" s="26"/>
    </row>
    <row r="13" spans="1:23" ht="15" customHeight="1" x14ac:dyDescent="0.15">
      <c r="A13" s="37" t="s">
        <v>95</v>
      </c>
      <c r="B13" s="3" t="s">
        <v>96</v>
      </c>
      <c r="C13" s="4" t="s">
        <v>96</v>
      </c>
      <c r="D13" s="4">
        <v>0.64</v>
      </c>
      <c r="E13" s="33">
        <v>338</v>
      </c>
      <c r="F13" s="4"/>
      <c r="G13" s="26"/>
      <c r="H13" s="15"/>
      <c r="I13" s="37" t="s">
        <v>95</v>
      </c>
      <c r="J13" s="3" t="s">
        <v>96</v>
      </c>
      <c r="K13" s="4" t="s">
        <v>96</v>
      </c>
      <c r="L13" s="4">
        <v>0.63</v>
      </c>
      <c r="M13" s="33">
        <v>1936</v>
      </c>
      <c r="N13" s="4"/>
      <c r="O13" s="26"/>
      <c r="P13" s="15"/>
      <c r="Q13" s="37" t="s">
        <v>95</v>
      </c>
      <c r="R13" s="3" t="s">
        <v>96</v>
      </c>
      <c r="S13" s="4" t="s">
        <v>96</v>
      </c>
      <c r="T13" s="4">
        <v>0.65</v>
      </c>
      <c r="U13" s="33">
        <v>1948</v>
      </c>
      <c r="V13" s="4"/>
      <c r="W13" s="26"/>
    </row>
    <row r="14" spans="1:23" ht="15" customHeight="1" x14ac:dyDescent="0.15">
      <c r="A14" s="37" t="s">
        <v>97</v>
      </c>
      <c r="B14" s="3">
        <v>0.63</v>
      </c>
      <c r="C14" s="4">
        <v>0.63</v>
      </c>
      <c r="D14" s="4">
        <v>0.63</v>
      </c>
      <c r="E14" s="33">
        <v>338</v>
      </c>
      <c r="F14" s="4"/>
      <c r="G14" s="26"/>
      <c r="H14" s="15"/>
      <c r="I14" s="37" t="s">
        <v>97</v>
      </c>
      <c r="J14" s="3">
        <v>0.63</v>
      </c>
      <c r="K14" s="4">
        <v>0.63</v>
      </c>
      <c r="L14" s="4">
        <v>0.63</v>
      </c>
      <c r="M14" s="33">
        <v>1936</v>
      </c>
      <c r="N14" s="4"/>
      <c r="O14" s="26"/>
      <c r="P14" s="15"/>
      <c r="Q14" s="37" t="s">
        <v>97</v>
      </c>
      <c r="R14" s="3">
        <v>0.66</v>
      </c>
      <c r="S14" s="4">
        <v>0.66</v>
      </c>
      <c r="T14" s="4">
        <v>0.65</v>
      </c>
      <c r="U14" s="33">
        <v>1948</v>
      </c>
      <c r="V14" s="4"/>
      <c r="W14" s="26"/>
    </row>
    <row r="15" spans="1:23" ht="15" customHeight="1" x14ac:dyDescent="0.15">
      <c r="A15" s="37" t="s">
        <v>98</v>
      </c>
      <c r="B15" s="3">
        <v>0.64</v>
      </c>
      <c r="C15" s="4">
        <v>0.64</v>
      </c>
      <c r="D15" s="4">
        <v>0.64</v>
      </c>
      <c r="E15" s="33">
        <v>338</v>
      </c>
      <c r="F15" s="4"/>
      <c r="G15" s="26"/>
      <c r="H15" s="15"/>
      <c r="I15" s="37" t="s">
        <v>98</v>
      </c>
      <c r="J15" s="3">
        <v>0.63</v>
      </c>
      <c r="K15" s="4">
        <v>0.63</v>
      </c>
      <c r="L15" s="4">
        <v>0.63</v>
      </c>
      <c r="M15" s="33">
        <v>1936</v>
      </c>
      <c r="N15" s="4"/>
      <c r="O15" s="26"/>
      <c r="P15" s="15"/>
      <c r="Q15" s="37" t="s">
        <v>98</v>
      </c>
      <c r="R15" s="3">
        <v>0.66</v>
      </c>
      <c r="S15" s="4">
        <v>0.65</v>
      </c>
      <c r="T15" s="4">
        <v>0.65</v>
      </c>
      <c r="U15" s="33">
        <v>1948</v>
      </c>
      <c r="V15" s="4"/>
      <c r="W15" s="26"/>
    </row>
    <row r="16" spans="1:23" ht="15" customHeight="1" x14ac:dyDescent="0.15">
      <c r="A16" s="38"/>
      <c r="B16" s="17"/>
      <c r="C16" s="17"/>
      <c r="D16" s="17"/>
      <c r="E16" s="31"/>
      <c r="F16" s="17"/>
      <c r="G16" s="25"/>
      <c r="H16" s="18"/>
      <c r="I16" s="38"/>
      <c r="J16" s="17"/>
      <c r="K16" s="17"/>
      <c r="L16" s="17"/>
      <c r="M16" s="31"/>
      <c r="N16" s="17"/>
      <c r="O16" s="25"/>
      <c r="P16" s="18"/>
      <c r="Q16" s="38"/>
      <c r="R16" s="17"/>
      <c r="S16" s="17"/>
      <c r="T16" s="17"/>
      <c r="U16" s="31"/>
      <c r="V16" s="17"/>
      <c r="W16" s="25"/>
    </row>
    <row r="17" spans="1:23" ht="15" customHeight="1" x14ac:dyDescent="0.15">
      <c r="A17" s="43" t="s">
        <v>12</v>
      </c>
      <c r="B17" s="44"/>
      <c r="C17" s="44"/>
      <c r="D17" s="44"/>
      <c r="E17" s="44"/>
      <c r="F17" s="44"/>
      <c r="G17" s="44"/>
      <c r="H17" s="18"/>
      <c r="I17" s="43" t="s">
        <v>13</v>
      </c>
      <c r="J17" s="44"/>
      <c r="K17" s="44"/>
      <c r="L17" s="44"/>
      <c r="M17" s="44"/>
      <c r="N17" s="44"/>
      <c r="O17" s="44"/>
      <c r="P17" s="18"/>
      <c r="Q17" s="43" t="s">
        <v>14</v>
      </c>
      <c r="R17" s="44"/>
      <c r="S17" s="44"/>
      <c r="T17" s="44"/>
      <c r="U17" s="44"/>
      <c r="V17" s="44"/>
      <c r="W17" s="44"/>
    </row>
    <row r="18" spans="1:23" ht="15" customHeight="1" x14ac:dyDescent="0.15">
      <c r="A18" s="28"/>
      <c r="B18" s="14" t="s">
        <v>3</v>
      </c>
      <c r="C18" s="14" t="s">
        <v>4</v>
      </c>
      <c r="D18" s="14" t="s">
        <v>5</v>
      </c>
      <c r="E18" s="28" t="s">
        <v>6</v>
      </c>
      <c r="F18" s="14" t="s">
        <v>7</v>
      </c>
      <c r="G18" s="22" t="s">
        <v>8</v>
      </c>
      <c r="H18" s="15"/>
      <c r="I18" s="28"/>
      <c r="J18" s="14" t="s">
        <v>3</v>
      </c>
      <c r="K18" s="14" t="s">
        <v>4</v>
      </c>
      <c r="L18" s="14" t="s">
        <v>5</v>
      </c>
      <c r="M18" s="28" t="s">
        <v>6</v>
      </c>
      <c r="N18" s="14" t="s">
        <v>7</v>
      </c>
      <c r="O18" s="22" t="s">
        <v>8</v>
      </c>
      <c r="P18" s="15"/>
      <c r="Q18" s="28"/>
      <c r="R18" s="14" t="s">
        <v>3</v>
      </c>
      <c r="S18" s="14" t="s">
        <v>4</v>
      </c>
      <c r="T18" s="14" t="s">
        <v>5</v>
      </c>
      <c r="U18" s="28" t="s">
        <v>6</v>
      </c>
      <c r="V18" s="14" t="s">
        <v>7</v>
      </c>
      <c r="W18" s="22" t="s">
        <v>8</v>
      </c>
    </row>
    <row r="19" spans="1:23" ht="15" customHeight="1" x14ac:dyDescent="0.15">
      <c r="A19" s="35">
        <v>0</v>
      </c>
      <c r="B19" s="1">
        <v>0.62</v>
      </c>
      <c r="C19" s="2">
        <v>0.76</v>
      </c>
      <c r="D19" s="2">
        <v>0.68</v>
      </c>
      <c r="E19" s="32">
        <v>192</v>
      </c>
      <c r="F19" s="2" t="s">
        <v>41</v>
      </c>
      <c r="G19" s="5">
        <v>0.56938498858447395</v>
      </c>
      <c r="H19" s="15"/>
      <c r="I19" s="35">
        <v>0</v>
      </c>
      <c r="J19" s="1">
        <v>0.6</v>
      </c>
      <c r="K19" s="2">
        <v>0.85</v>
      </c>
      <c r="L19" s="2">
        <v>0.7</v>
      </c>
      <c r="M19" s="32">
        <v>1075</v>
      </c>
      <c r="N19" s="2" t="s">
        <v>370</v>
      </c>
      <c r="O19" s="5">
        <v>0.56576614536909497</v>
      </c>
      <c r="P19" s="15"/>
      <c r="Q19" s="35">
        <v>0</v>
      </c>
      <c r="R19" s="1">
        <v>0.63</v>
      </c>
      <c r="S19" s="2">
        <v>0.61</v>
      </c>
      <c r="T19" s="2">
        <v>0.62</v>
      </c>
      <c r="U19" s="32">
        <v>987</v>
      </c>
      <c r="V19" s="2" t="s">
        <v>484</v>
      </c>
      <c r="W19" s="5">
        <v>0.62175345042261099</v>
      </c>
    </row>
    <row r="20" spans="1:23" ht="15" customHeight="1" x14ac:dyDescent="0.15">
      <c r="A20" s="36">
        <v>1</v>
      </c>
      <c r="B20" s="3">
        <v>0.54</v>
      </c>
      <c r="C20" s="4">
        <v>0.38</v>
      </c>
      <c r="D20" s="4">
        <v>0.45</v>
      </c>
      <c r="E20" s="33">
        <v>146</v>
      </c>
      <c r="F20" s="4" t="s">
        <v>335</v>
      </c>
      <c r="G20" s="26"/>
      <c r="H20" s="15"/>
      <c r="I20" s="36">
        <v>1</v>
      </c>
      <c r="J20" s="3">
        <v>0.6</v>
      </c>
      <c r="K20" s="4">
        <v>0.28000000000000003</v>
      </c>
      <c r="L20" s="4">
        <v>0.38</v>
      </c>
      <c r="M20" s="33">
        <v>861</v>
      </c>
      <c r="N20" s="4" t="s">
        <v>371</v>
      </c>
      <c r="O20" s="26"/>
      <c r="P20" s="15"/>
      <c r="Q20" s="36">
        <v>1</v>
      </c>
      <c r="R20" s="3">
        <v>0.61</v>
      </c>
      <c r="S20" s="4">
        <v>0.63</v>
      </c>
      <c r="T20" s="4">
        <v>0.62</v>
      </c>
      <c r="U20" s="33">
        <v>961</v>
      </c>
      <c r="V20" s="4" t="s">
        <v>485</v>
      </c>
      <c r="W20" s="26"/>
    </row>
    <row r="21" spans="1:23" ht="15" customHeight="1" x14ac:dyDescent="0.15">
      <c r="A21" s="37" t="s">
        <v>95</v>
      </c>
      <c r="B21" s="3" t="s">
        <v>96</v>
      </c>
      <c r="C21" s="4" t="s">
        <v>96</v>
      </c>
      <c r="D21" s="4">
        <v>0.59</v>
      </c>
      <c r="E21" s="33">
        <v>338</v>
      </c>
      <c r="F21" s="4"/>
      <c r="G21" s="26"/>
      <c r="H21" s="15"/>
      <c r="I21" s="37" t="s">
        <v>95</v>
      </c>
      <c r="J21" s="3" t="s">
        <v>96</v>
      </c>
      <c r="K21" s="4" t="s">
        <v>96</v>
      </c>
      <c r="L21" s="4">
        <v>0.6</v>
      </c>
      <c r="M21" s="33">
        <v>1936</v>
      </c>
      <c r="N21" s="4"/>
      <c r="O21" s="26"/>
      <c r="P21" s="15"/>
      <c r="Q21" s="37" t="s">
        <v>95</v>
      </c>
      <c r="R21" s="3" t="s">
        <v>96</v>
      </c>
      <c r="S21" s="4" t="s">
        <v>96</v>
      </c>
      <c r="T21" s="4">
        <v>0.62</v>
      </c>
      <c r="U21" s="33">
        <v>1948</v>
      </c>
      <c r="V21" s="4"/>
      <c r="W21" s="26"/>
    </row>
    <row r="22" spans="1:23" ht="15" customHeight="1" x14ac:dyDescent="0.15">
      <c r="A22" s="37" t="s">
        <v>97</v>
      </c>
      <c r="B22" s="3">
        <v>0.57999999999999996</v>
      </c>
      <c r="C22" s="4">
        <v>0.56999999999999995</v>
      </c>
      <c r="D22" s="4">
        <v>0.56000000000000005</v>
      </c>
      <c r="E22" s="33">
        <v>338</v>
      </c>
      <c r="F22" s="4"/>
      <c r="G22" s="26"/>
      <c r="H22" s="15"/>
      <c r="I22" s="37" t="s">
        <v>97</v>
      </c>
      <c r="J22" s="3">
        <v>0.6</v>
      </c>
      <c r="K22" s="4">
        <v>0.56999999999999995</v>
      </c>
      <c r="L22" s="4">
        <v>0.54</v>
      </c>
      <c r="M22" s="33">
        <v>1936</v>
      </c>
      <c r="N22" s="4"/>
      <c r="O22" s="26"/>
      <c r="P22" s="15"/>
      <c r="Q22" s="37" t="s">
        <v>97</v>
      </c>
      <c r="R22" s="3">
        <v>0.62</v>
      </c>
      <c r="S22" s="4">
        <v>0.62</v>
      </c>
      <c r="T22" s="4">
        <v>0.62</v>
      </c>
      <c r="U22" s="33">
        <v>1948</v>
      </c>
      <c r="V22" s="4"/>
      <c r="W22" s="26"/>
    </row>
    <row r="23" spans="1:23" ht="15" customHeight="1" x14ac:dyDescent="0.15">
      <c r="A23" s="37" t="s">
        <v>98</v>
      </c>
      <c r="B23" s="3">
        <v>0.59</v>
      </c>
      <c r="C23" s="4">
        <v>0.59</v>
      </c>
      <c r="D23" s="4">
        <v>0.57999999999999996</v>
      </c>
      <c r="E23" s="33">
        <v>338</v>
      </c>
      <c r="F23" s="4"/>
      <c r="G23" s="26"/>
      <c r="H23" s="15"/>
      <c r="I23" s="37" t="s">
        <v>98</v>
      </c>
      <c r="J23" s="3">
        <v>0.6</v>
      </c>
      <c r="K23" s="4">
        <v>0.6</v>
      </c>
      <c r="L23" s="4">
        <v>0.56000000000000005</v>
      </c>
      <c r="M23" s="33">
        <v>1936</v>
      </c>
      <c r="N23" s="4"/>
      <c r="O23" s="26"/>
      <c r="P23" s="15"/>
      <c r="Q23" s="37" t="s">
        <v>98</v>
      </c>
      <c r="R23" s="3">
        <v>0.62</v>
      </c>
      <c r="S23" s="4">
        <v>0.62</v>
      </c>
      <c r="T23" s="4">
        <v>0.62</v>
      </c>
      <c r="U23" s="33">
        <v>1948</v>
      </c>
      <c r="V23" s="4"/>
      <c r="W23" s="26"/>
    </row>
    <row r="24" spans="1:23" ht="15" customHeight="1" x14ac:dyDescent="0.15">
      <c r="A24" s="38"/>
      <c r="B24" s="17"/>
      <c r="C24" s="17"/>
      <c r="D24" s="17"/>
      <c r="E24" s="31"/>
      <c r="F24" s="17"/>
      <c r="G24" s="25"/>
      <c r="H24" s="18"/>
      <c r="I24" s="38"/>
      <c r="J24" s="17"/>
      <c r="K24" s="17"/>
      <c r="L24" s="17"/>
      <c r="M24" s="31"/>
      <c r="N24" s="17"/>
      <c r="O24" s="25"/>
      <c r="P24" s="18"/>
      <c r="Q24" s="38"/>
      <c r="R24" s="17"/>
      <c r="S24" s="17"/>
      <c r="T24" s="17"/>
      <c r="U24" s="31"/>
      <c r="V24" s="17"/>
      <c r="W24" s="25"/>
    </row>
    <row r="25" spans="1:23" ht="15" customHeight="1" x14ac:dyDescent="0.15">
      <c r="A25" s="43" t="s">
        <v>15</v>
      </c>
      <c r="B25" s="44"/>
      <c r="C25" s="44"/>
      <c r="D25" s="44"/>
      <c r="E25" s="44"/>
      <c r="F25" s="44"/>
      <c r="G25" s="44"/>
      <c r="H25" s="18"/>
      <c r="I25" s="43" t="s">
        <v>16</v>
      </c>
      <c r="J25" s="44"/>
      <c r="K25" s="44"/>
      <c r="L25" s="44"/>
      <c r="M25" s="44"/>
      <c r="N25" s="44"/>
      <c r="O25" s="44"/>
      <c r="P25" s="18"/>
      <c r="Q25" s="43" t="s">
        <v>17</v>
      </c>
      <c r="R25" s="44"/>
      <c r="S25" s="44"/>
      <c r="T25" s="44"/>
      <c r="U25" s="44"/>
      <c r="V25" s="44"/>
      <c r="W25" s="44"/>
    </row>
    <row r="26" spans="1:23" ht="15" customHeight="1" x14ac:dyDescent="0.15">
      <c r="A26" s="28"/>
      <c r="B26" s="14" t="s">
        <v>3</v>
      </c>
      <c r="C26" s="14" t="s">
        <v>4</v>
      </c>
      <c r="D26" s="14" t="s">
        <v>5</v>
      </c>
      <c r="E26" s="28" t="s">
        <v>6</v>
      </c>
      <c r="F26" s="14" t="s">
        <v>7</v>
      </c>
      <c r="G26" s="22" t="s">
        <v>8</v>
      </c>
      <c r="H26" s="15"/>
      <c r="I26" s="28"/>
      <c r="J26" s="14" t="s">
        <v>3</v>
      </c>
      <c r="K26" s="14" t="s">
        <v>4</v>
      </c>
      <c r="L26" s="14" t="s">
        <v>5</v>
      </c>
      <c r="M26" s="28" t="s">
        <v>6</v>
      </c>
      <c r="N26" s="14" t="s">
        <v>7</v>
      </c>
      <c r="O26" s="22" t="s">
        <v>8</v>
      </c>
      <c r="P26" s="15"/>
      <c r="Q26" s="28"/>
      <c r="R26" s="14" t="s">
        <v>3</v>
      </c>
      <c r="S26" s="14" t="s">
        <v>4</v>
      </c>
      <c r="T26" s="14" t="s">
        <v>5</v>
      </c>
      <c r="U26" s="28" t="s">
        <v>6</v>
      </c>
      <c r="V26" s="14" t="s">
        <v>7</v>
      </c>
      <c r="W26" s="22" t="s">
        <v>8</v>
      </c>
    </row>
    <row r="27" spans="1:23" ht="15" customHeight="1" x14ac:dyDescent="0.15">
      <c r="A27" s="35">
        <v>0</v>
      </c>
      <c r="B27" s="1">
        <v>0.61</v>
      </c>
      <c r="C27" s="2">
        <v>0.72</v>
      </c>
      <c r="D27" s="2">
        <v>0.66</v>
      </c>
      <c r="E27" s="32">
        <v>163</v>
      </c>
      <c r="F27" s="2" t="s">
        <v>336</v>
      </c>
      <c r="G27" s="5">
        <v>0.65053461875547702</v>
      </c>
      <c r="H27" s="15"/>
      <c r="I27" s="35">
        <v>0</v>
      </c>
      <c r="J27" s="1">
        <v>0.6</v>
      </c>
      <c r="K27" s="2">
        <v>0.66</v>
      </c>
      <c r="L27" s="2">
        <v>0.63</v>
      </c>
      <c r="M27" s="32">
        <v>932</v>
      </c>
      <c r="N27" s="2" t="s">
        <v>247</v>
      </c>
      <c r="O27" s="5">
        <v>0.62858651231981899</v>
      </c>
      <c r="P27" s="15"/>
      <c r="Q27" s="35">
        <v>0</v>
      </c>
      <c r="R27" s="1">
        <v>0.68</v>
      </c>
      <c r="S27" s="2">
        <v>0.55000000000000004</v>
      </c>
      <c r="T27" s="2">
        <v>0.61</v>
      </c>
      <c r="U27" s="32">
        <v>811</v>
      </c>
      <c r="V27" s="2" t="s">
        <v>486</v>
      </c>
      <c r="W27" s="5">
        <v>0.68578971854676296</v>
      </c>
    </row>
    <row r="28" spans="1:23" ht="15" customHeight="1" x14ac:dyDescent="0.15">
      <c r="A28" s="36">
        <v>1</v>
      </c>
      <c r="B28" s="3">
        <v>0.69</v>
      </c>
      <c r="C28" s="4">
        <v>0.57999999999999996</v>
      </c>
      <c r="D28" s="4">
        <v>0.63</v>
      </c>
      <c r="E28" s="33">
        <v>175</v>
      </c>
      <c r="F28" s="4" t="s">
        <v>337</v>
      </c>
      <c r="G28" s="26"/>
      <c r="H28" s="15"/>
      <c r="I28" s="36">
        <v>1</v>
      </c>
      <c r="J28" s="3">
        <v>0.65</v>
      </c>
      <c r="K28" s="4">
        <v>0.6</v>
      </c>
      <c r="L28" s="4">
        <v>0.63</v>
      </c>
      <c r="M28" s="33">
        <v>1004</v>
      </c>
      <c r="N28" s="4" t="s">
        <v>107</v>
      </c>
      <c r="O28" s="26"/>
      <c r="P28" s="15"/>
      <c r="Q28" s="36">
        <v>1</v>
      </c>
      <c r="R28" s="3">
        <v>0.72</v>
      </c>
      <c r="S28" s="4">
        <v>0.82</v>
      </c>
      <c r="T28" s="4">
        <v>0.77</v>
      </c>
      <c r="U28" s="33">
        <v>1137</v>
      </c>
      <c r="V28" s="4" t="s">
        <v>487</v>
      </c>
      <c r="W28" s="26"/>
    </row>
    <row r="29" spans="1:23" ht="15" customHeight="1" x14ac:dyDescent="0.15">
      <c r="A29" s="37" t="s">
        <v>95</v>
      </c>
      <c r="B29" s="3" t="s">
        <v>96</v>
      </c>
      <c r="C29" s="4" t="s">
        <v>96</v>
      </c>
      <c r="D29" s="4">
        <v>0.65</v>
      </c>
      <c r="E29" s="33">
        <v>338</v>
      </c>
      <c r="F29" s="4"/>
      <c r="G29" s="26"/>
      <c r="H29" s="15"/>
      <c r="I29" s="37" t="s">
        <v>95</v>
      </c>
      <c r="J29" s="3" t="s">
        <v>96</v>
      </c>
      <c r="K29" s="4" t="s">
        <v>96</v>
      </c>
      <c r="L29" s="4">
        <v>0.63</v>
      </c>
      <c r="M29" s="33">
        <v>1936</v>
      </c>
      <c r="N29" s="4"/>
      <c r="O29" s="26"/>
      <c r="P29" s="15"/>
      <c r="Q29" s="37" t="s">
        <v>95</v>
      </c>
      <c r="R29" s="3" t="s">
        <v>96</v>
      </c>
      <c r="S29" s="4" t="s">
        <v>96</v>
      </c>
      <c r="T29" s="4">
        <v>0.71</v>
      </c>
      <c r="U29" s="33">
        <v>1948</v>
      </c>
      <c r="V29" s="4"/>
      <c r="W29" s="26"/>
    </row>
    <row r="30" spans="1:23" ht="15" customHeight="1" x14ac:dyDescent="0.15">
      <c r="A30" s="37" t="s">
        <v>97</v>
      </c>
      <c r="B30" s="3">
        <v>0.65</v>
      </c>
      <c r="C30" s="4">
        <v>0.65</v>
      </c>
      <c r="D30" s="4">
        <v>0.65</v>
      </c>
      <c r="E30" s="33">
        <v>338</v>
      </c>
      <c r="F30" s="4"/>
      <c r="G30" s="26"/>
      <c r="H30" s="15"/>
      <c r="I30" s="37" t="s">
        <v>97</v>
      </c>
      <c r="J30" s="3">
        <v>0.63</v>
      </c>
      <c r="K30" s="4">
        <v>0.63</v>
      </c>
      <c r="L30" s="4">
        <v>0.63</v>
      </c>
      <c r="M30" s="33">
        <v>1936</v>
      </c>
      <c r="N30" s="4"/>
      <c r="O30" s="26"/>
      <c r="P30" s="15"/>
      <c r="Q30" s="37" t="s">
        <v>97</v>
      </c>
      <c r="R30" s="3">
        <v>0.7</v>
      </c>
      <c r="S30" s="4">
        <v>0.69</v>
      </c>
      <c r="T30" s="4">
        <v>0.69</v>
      </c>
      <c r="U30" s="33">
        <v>1948</v>
      </c>
      <c r="V30" s="4"/>
      <c r="W30" s="26"/>
    </row>
    <row r="31" spans="1:23" ht="15" customHeight="1" x14ac:dyDescent="0.15">
      <c r="A31" s="37" t="s">
        <v>98</v>
      </c>
      <c r="B31" s="3">
        <v>0.65</v>
      </c>
      <c r="C31" s="4">
        <v>0.65</v>
      </c>
      <c r="D31" s="4">
        <v>0.65</v>
      </c>
      <c r="E31" s="33">
        <v>338</v>
      </c>
      <c r="F31" s="4"/>
      <c r="G31" s="26"/>
      <c r="H31" s="15"/>
      <c r="I31" s="37" t="s">
        <v>98</v>
      </c>
      <c r="J31" s="3">
        <v>0.63</v>
      </c>
      <c r="K31" s="4">
        <v>0.63</v>
      </c>
      <c r="L31" s="4">
        <v>0.63</v>
      </c>
      <c r="M31" s="33">
        <v>1936</v>
      </c>
      <c r="N31" s="4"/>
      <c r="O31" s="26"/>
      <c r="P31" s="15"/>
      <c r="Q31" s="37" t="s">
        <v>98</v>
      </c>
      <c r="R31" s="3">
        <v>0.71</v>
      </c>
      <c r="S31" s="4">
        <v>0.71</v>
      </c>
      <c r="T31" s="4">
        <v>0.7</v>
      </c>
      <c r="U31" s="33">
        <v>1948</v>
      </c>
      <c r="V31" s="4"/>
      <c r="W31" s="26"/>
    </row>
    <row r="32" spans="1:23" ht="15" customHeight="1" x14ac:dyDescent="0.15">
      <c r="A32" s="38"/>
      <c r="B32" s="17"/>
      <c r="C32" s="17"/>
      <c r="D32" s="17"/>
      <c r="E32" s="31"/>
      <c r="F32" s="17"/>
      <c r="G32" s="25"/>
      <c r="H32" s="18"/>
      <c r="I32" s="38"/>
      <c r="J32" s="17"/>
      <c r="K32" s="17"/>
      <c r="L32" s="17"/>
      <c r="M32" s="31"/>
      <c r="N32" s="17"/>
      <c r="O32" s="25"/>
      <c r="P32" s="18"/>
      <c r="Q32" s="38"/>
      <c r="R32" s="17"/>
      <c r="S32" s="17"/>
      <c r="T32" s="17"/>
      <c r="U32" s="31"/>
      <c r="V32" s="17"/>
      <c r="W32" s="25"/>
    </row>
    <row r="33" spans="1:23" ht="15" customHeight="1" x14ac:dyDescent="0.15">
      <c r="A33" s="43" t="s">
        <v>18</v>
      </c>
      <c r="B33" s="44"/>
      <c r="C33" s="44"/>
      <c r="D33" s="44"/>
      <c r="E33" s="44"/>
      <c r="F33" s="44"/>
      <c r="G33" s="44"/>
      <c r="H33" s="18"/>
      <c r="I33" s="43" t="s">
        <v>19</v>
      </c>
      <c r="J33" s="44"/>
      <c r="K33" s="44"/>
      <c r="L33" s="44"/>
      <c r="M33" s="44"/>
      <c r="N33" s="44"/>
      <c r="O33" s="44"/>
      <c r="P33" s="18"/>
      <c r="Q33" s="43" t="s">
        <v>20</v>
      </c>
      <c r="R33" s="44"/>
      <c r="S33" s="44"/>
      <c r="T33" s="44"/>
      <c r="U33" s="44"/>
      <c r="V33" s="44"/>
      <c r="W33" s="44"/>
    </row>
    <row r="34" spans="1:23" ht="15" customHeight="1" x14ac:dyDescent="0.15">
      <c r="A34" s="28"/>
      <c r="B34" s="14" t="s">
        <v>3</v>
      </c>
      <c r="C34" s="14" t="s">
        <v>4</v>
      </c>
      <c r="D34" s="14" t="s">
        <v>5</v>
      </c>
      <c r="E34" s="28" t="s">
        <v>6</v>
      </c>
      <c r="F34" s="14" t="s">
        <v>7</v>
      </c>
      <c r="G34" s="22" t="s">
        <v>8</v>
      </c>
      <c r="H34" s="15"/>
      <c r="I34" s="28"/>
      <c r="J34" s="14" t="s">
        <v>3</v>
      </c>
      <c r="K34" s="14" t="s">
        <v>4</v>
      </c>
      <c r="L34" s="14" t="s">
        <v>5</v>
      </c>
      <c r="M34" s="28" t="s">
        <v>6</v>
      </c>
      <c r="N34" s="14" t="s">
        <v>7</v>
      </c>
      <c r="O34" s="22" t="s">
        <v>8</v>
      </c>
      <c r="P34" s="15"/>
      <c r="Q34" s="28"/>
      <c r="R34" s="14" t="s">
        <v>3</v>
      </c>
      <c r="S34" s="14" t="s">
        <v>4</v>
      </c>
      <c r="T34" s="14" t="s">
        <v>5</v>
      </c>
      <c r="U34" s="28" t="s">
        <v>6</v>
      </c>
      <c r="V34" s="14" t="s">
        <v>7</v>
      </c>
      <c r="W34" s="22" t="s">
        <v>8</v>
      </c>
    </row>
    <row r="35" spans="1:23" ht="15" customHeight="1" x14ac:dyDescent="0.15">
      <c r="A35" s="35">
        <v>0</v>
      </c>
      <c r="B35" s="1">
        <v>0.56000000000000005</v>
      </c>
      <c r="C35" s="2">
        <v>0.73</v>
      </c>
      <c r="D35" s="2">
        <v>0.63</v>
      </c>
      <c r="E35" s="32">
        <v>163</v>
      </c>
      <c r="F35" s="2" t="s">
        <v>338</v>
      </c>
      <c r="G35" s="5">
        <v>0.59645924627519697</v>
      </c>
      <c r="H35" s="15"/>
      <c r="I35" s="35">
        <v>0</v>
      </c>
      <c r="J35" s="1">
        <v>0.59</v>
      </c>
      <c r="K35" s="2">
        <v>0.66</v>
      </c>
      <c r="L35" s="2">
        <v>0.63</v>
      </c>
      <c r="M35" s="32">
        <v>932</v>
      </c>
      <c r="N35" s="2" t="s">
        <v>372</v>
      </c>
      <c r="O35" s="5">
        <v>0.62130875639074601</v>
      </c>
      <c r="P35" s="15"/>
      <c r="Q35" s="35">
        <v>0</v>
      </c>
      <c r="R35" s="40">
        <v>0.63</v>
      </c>
      <c r="S35" s="2">
        <v>0.57999999999999996</v>
      </c>
      <c r="T35" s="2">
        <v>0.6</v>
      </c>
      <c r="U35" s="32">
        <v>811</v>
      </c>
      <c r="V35" s="2" t="s">
        <v>488</v>
      </c>
      <c r="W35" s="5">
        <v>0.66918264366282798</v>
      </c>
    </row>
    <row r="36" spans="1:23" ht="15" customHeight="1" x14ac:dyDescent="0.15">
      <c r="A36" s="36">
        <v>1</v>
      </c>
      <c r="B36" s="3">
        <v>0.65</v>
      </c>
      <c r="C36" s="4">
        <v>0.46</v>
      </c>
      <c r="D36" s="4">
        <v>0.54</v>
      </c>
      <c r="E36" s="33">
        <v>175</v>
      </c>
      <c r="F36" s="4" t="s">
        <v>339</v>
      </c>
      <c r="G36" s="26"/>
      <c r="H36" s="15"/>
      <c r="I36" s="36">
        <v>1</v>
      </c>
      <c r="J36" s="3">
        <v>0.65</v>
      </c>
      <c r="K36" s="4">
        <v>0.57999999999999996</v>
      </c>
      <c r="L36" s="4">
        <v>0.61</v>
      </c>
      <c r="M36" s="33">
        <v>1004</v>
      </c>
      <c r="N36" s="4" t="s">
        <v>373</v>
      </c>
      <c r="O36" s="26"/>
      <c r="P36" s="15"/>
      <c r="Q36" s="36">
        <v>1</v>
      </c>
      <c r="R36" s="3">
        <v>0.72</v>
      </c>
      <c r="S36" s="4">
        <v>0.76</v>
      </c>
      <c r="T36" s="4">
        <v>0.74</v>
      </c>
      <c r="U36" s="33">
        <v>1137</v>
      </c>
      <c r="V36" s="4" t="s">
        <v>489</v>
      </c>
      <c r="W36" s="26"/>
    </row>
    <row r="37" spans="1:23" ht="15" customHeight="1" x14ac:dyDescent="0.15">
      <c r="A37" s="37" t="s">
        <v>95</v>
      </c>
      <c r="B37" s="3" t="s">
        <v>96</v>
      </c>
      <c r="C37" s="4" t="s">
        <v>96</v>
      </c>
      <c r="D37" s="4">
        <v>0.59</v>
      </c>
      <c r="E37" s="33">
        <v>338</v>
      </c>
      <c r="F37" s="4"/>
      <c r="G37" s="26"/>
      <c r="H37" s="15"/>
      <c r="I37" s="37" t="s">
        <v>95</v>
      </c>
      <c r="J37" s="3" t="s">
        <v>96</v>
      </c>
      <c r="K37" s="4" t="s">
        <v>96</v>
      </c>
      <c r="L37" s="4">
        <v>0.62</v>
      </c>
      <c r="M37" s="33">
        <v>1936</v>
      </c>
      <c r="N37" s="4"/>
      <c r="O37" s="26"/>
      <c r="P37" s="15"/>
      <c r="Q37" s="37" t="s">
        <v>95</v>
      </c>
      <c r="R37" s="3" t="s">
        <v>96</v>
      </c>
      <c r="S37" s="4" t="s">
        <v>96</v>
      </c>
      <c r="T37" s="4">
        <v>0.68</v>
      </c>
      <c r="U37" s="33">
        <v>1948</v>
      </c>
      <c r="V37" s="4"/>
      <c r="W37" s="26"/>
    </row>
    <row r="38" spans="1:23" ht="15" customHeight="1" x14ac:dyDescent="0.15">
      <c r="A38" s="37" t="s">
        <v>97</v>
      </c>
      <c r="B38" s="3">
        <v>0.6</v>
      </c>
      <c r="C38" s="4">
        <v>0.6</v>
      </c>
      <c r="D38" s="4">
        <v>0.59</v>
      </c>
      <c r="E38" s="33">
        <v>338</v>
      </c>
      <c r="F38" s="4"/>
      <c r="G38" s="26"/>
      <c r="H38" s="15"/>
      <c r="I38" s="37" t="s">
        <v>97</v>
      </c>
      <c r="J38" s="3">
        <v>0.62</v>
      </c>
      <c r="K38" s="4">
        <v>0.62</v>
      </c>
      <c r="L38" s="4">
        <v>0.62</v>
      </c>
      <c r="M38" s="33">
        <v>1936</v>
      </c>
      <c r="N38" s="4"/>
      <c r="O38" s="26"/>
      <c r="P38" s="15"/>
      <c r="Q38" s="37" t="s">
        <v>97</v>
      </c>
      <c r="R38" s="3">
        <v>0.67</v>
      </c>
      <c r="S38" s="4">
        <v>0.67</v>
      </c>
      <c r="T38" s="4">
        <v>0.67</v>
      </c>
      <c r="U38" s="33">
        <v>1948</v>
      </c>
      <c r="V38" s="4"/>
      <c r="W38" s="26"/>
    </row>
    <row r="39" spans="1:23" ht="15" customHeight="1" x14ac:dyDescent="0.15">
      <c r="A39" s="37" t="s">
        <v>98</v>
      </c>
      <c r="B39" s="3">
        <v>0.6</v>
      </c>
      <c r="C39" s="4">
        <v>0.59</v>
      </c>
      <c r="D39" s="4">
        <v>0.57999999999999996</v>
      </c>
      <c r="E39" s="33">
        <v>338</v>
      </c>
      <c r="F39" s="4"/>
      <c r="G39" s="26"/>
      <c r="H39" s="15"/>
      <c r="I39" s="37" t="s">
        <v>98</v>
      </c>
      <c r="J39" s="3">
        <v>0.62</v>
      </c>
      <c r="K39" s="4">
        <v>0.62</v>
      </c>
      <c r="L39" s="4">
        <v>0.62</v>
      </c>
      <c r="M39" s="33">
        <v>1936</v>
      </c>
      <c r="N39" s="4"/>
      <c r="O39" s="26"/>
      <c r="P39" s="15"/>
      <c r="Q39" s="37" t="s">
        <v>98</v>
      </c>
      <c r="R39" s="3">
        <v>0.68</v>
      </c>
      <c r="S39" s="4">
        <v>0.68</v>
      </c>
      <c r="T39" s="4">
        <v>0.68</v>
      </c>
      <c r="U39" s="33">
        <v>1948</v>
      </c>
      <c r="V39" s="4"/>
      <c r="W39" s="26"/>
    </row>
    <row r="40" spans="1:23" ht="15" customHeight="1" x14ac:dyDescent="0.15">
      <c r="A40" s="38"/>
      <c r="B40" s="17"/>
      <c r="C40" s="17"/>
      <c r="D40" s="17"/>
      <c r="E40" s="31"/>
      <c r="F40" s="17"/>
      <c r="G40" s="25"/>
      <c r="H40" s="18"/>
      <c r="I40" s="38"/>
      <c r="J40" s="17"/>
      <c r="K40" s="17"/>
      <c r="L40" s="17"/>
      <c r="M40" s="31"/>
      <c r="N40" s="17"/>
      <c r="O40" s="25"/>
      <c r="P40" s="18"/>
      <c r="Q40" s="38"/>
      <c r="R40" s="17"/>
      <c r="S40" s="17"/>
      <c r="T40" s="17"/>
      <c r="U40" s="31"/>
      <c r="V40" s="17"/>
      <c r="W40" s="25"/>
    </row>
    <row r="41" spans="1:23" ht="15" customHeight="1" x14ac:dyDescent="0.15">
      <c r="A41" s="43" t="s">
        <v>21</v>
      </c>
      <c r="B41" s="44"/>
      <c r="C41" s="44"/>
      <c r="D41" s="44"/>
      <c r="E41" s="44"/>
      <c r="F41" s="44"/>
      <c r="G41" s="44"/>
      <c r="H41" s="18"/>
      <c r="I41" s="43" t="s">
        <v>22</v>
      </c>
      <c r="J41" s="44"/>
      <c r="K41" s="44"/>
      <c r="L41" s="44"/>
      <c r="M41" s="44"/>
      <c r="N41" s="44"/>
      <c r="O41" s="44"/>
      <c r="P41" s="18"/>
      <c r="Q41" s="43" t="s">
        <v>23</v>
      </c>
      <c r="R41" s="44"/>
      <c r="S41" s="44"/>
      <c r="T41" s="44"/>
      <c r="U41" s="44"/>
      <c r="V41" s="44"/>
      <c r="W41" s="44"/>
    </row>
    <row r="42" spans="1:23" ht="15" customHeight="1" x14ac:dyDescent="0.15">
      <c r="A42" s="28"/>
      <c r="B42" s="14" t="s">
        <v>3</v>
      </c>
      <c r="C42" s="14" t="s">
        <v>4</v>
      </c>
      <c r="D42" s="14" t="s">
        <v>5</v>
      </c>
      <c r="E42" s="28" t="s">
        <v>6</v>
      </c>
      <c r="F42" s="14" t="s">
        <v>7</v>
      </c>
      <c r="G42" s="22" t="s">
        <v>8</v>
      </c>
      <c r="H42" s="15"/>
      <c r="I42" s="28"/>
      <c r="J42" s="14" t="s">
        <v>3</v>
      </c>
      <c r="K42" s="14" t="s">
        <v>4</v>
      </c>
      <c r="L42" s="14" t="s">
        <v>5</v>
      </c>
      <c r="M42" s="28" t="s">
        <v>6</v>
      </c>
      <c r="N42" s="14" t="s">
        <v>7</v>
      </c>
      <c r="O42" s="22" t="s">
        <v>8</v>
      </c>
      <c r="P42" s="15"/>
      <c r="Q42" s="28"/>
      <c r="R42" s="14" t="s">
        <v>3</v>
      </c>
      <c r="S42" s="14" t="s">
        <v>4</v>
      </c>
      <c r="T42" s="14" t="s">
        <v>5</v>
      </c>
      <c r="U42" s="28" t="s">
        <v>6</v>
      </c>
      <c r="V42" s="14" t="s">
        <v>7</v>
      </c>
      <c r="W42" s="22" t="s">
        <v>8</v>
      </c>
    </row>
    <row r="43" spans="1:23" ht="15" customHeight="1" x14ac:dyDescent="0.15">
      <c r="A43" s="35">
        <v>0</v>
      </c>
      <c r="B43" s="1">
        <v>0.51</v>
      </c>
      <c r="C43" s="2">
        <v>0.76</v>
      </c>
      <c r="D43" s="2">
        <v>0.61</v>
      </c>
      <c r="E43" s="32">
        <v>163</v>
      </c>
      <c r="F43" s="2" t="s">
        <v>340</v>
      </c>
      <c r="G43" s="5">
        <v>0.54036809815950904</v>
      </c>
      <c r="H43" s="15"/>
      <c r="I43" s="35">
        <v>0</v>
      </c>
      <c r="J43" s="1">
        <v>0.56999999999999995</v>
      </c>
      <c r="K43" s="2">
        <v>0.51</v>
      </c>
      <c r="L43" s="2">
        <v>0.54</v>
      </c>
      <c r="M43" s="32">
        <v>932</v>
      </c>
      <c r="N43" s="2" t="s">
        <v>374</v>
      </c>
      <c r="O43" s="5">
        <v>0.57753748952687101</v>
      </c>
      <c r="P43" s="15"/>
      <c r="Q43" s="35">
        <v>0</v>
      </c>
      <c r="R43" s="1">
        <v>0.5</v>
      </c>
      <c r="S43" s="2">
        <v>0.85</v>
      </c>
      <c r="T43" s="2">
        <v>0.63</v>
      </c>
      <c r="U43" s="32">
        <v>811</v>
      </c>
      <c r="V43" s="2" t="s">
        <v>490</v>
      </c>
      <c r="W43" s="5">
        <v>0.62205687626273298</v>
      </c>
    </row>
    <row r="44" spans="1:23" ht="15" customHeight="1" x14ac:dyDescent="0.15">
      <c r="A44" s="36">
        <v>1</v>
      </c>
      <c r="B44" s="3">
        <v>0.59</v>
      </c>
      <c r="C44" s="4">
        <v>0.32</v>
      </c>
      <c r="D44" s="4">
        <v>0.41</v>
      </c>
      <c r="E44" s="33">
        <v>175</v>
      </c>
      <c r="F44" s="4" t="s">
        <v>341</v>
      </c>
      <c r="G44" s="26"/>
      <c r="H44" s="15"/>
      <c r="I44" s="36">
        <v>1</v>
      </c>
      <c r="J44" s="3">
        <v>0.59</v>
      </c>
      <c r="K44" s="4">
        <v>0.65</v>
      </c>
      <c r="L44" s="4">
        <v>0.61</v>
      </c>
      <c r="M44" s="33">
        <v>1004</v>
      </c>
      <c r="N44" s="4" t="s">
        <v>375</v>
      </c>
      <c r="O44" s="26"/>
      <c r="P44" s="15"/>
      <c r="Q44" s="36">
        <v>1</v>
      </c>
      <c r="R44" s="3">
        <v>0.79</v>
      </c>
      <c r="S44" s="4">
        <v>0.4</v>
      </c>
      <c r="T44" s="4">
        <v>0.53</v>
      </c>
      <c r="U44" s="33">
        <v>1137</v>
      </c>
      <c r="V44" s="4" t="s">
        <v>491</v>
      </c>
      <c r="W44" s="26"/>
    </row>
    <row r="45" spans="1:23" ht="15" customHeight="1" x14ac:dyDescent="0.15">
      <c r="A45" s="37" t="s">
        <v>95</v>
      </c>
      <c r="B45" s="3" t="s">
        <v>96</v>
      </c>
      <c r="C45" s="4" t="s">
        <v>96</v>
      </c>
      <c r="D45" s="4">
        <v>0.53</v>
      </c>
      <c r="E45" s="33">
        <v>338</v>
      </c>
      <c r="F45" s="4"/>
      <c r="G45" s="26"/>
      <c r="H45" s="15"/>
      <c r="I45" s="37" t="s">
        <v>95</v>
      </c>
      <c r="J45" s="3" t="s">
        <v>96</v>
      </c>
      <c r="K45" s="4" t="s">
        <v>96</v>
      </c>
      <c r="L45" s="4">
        <v>0.57999999999999996</v>
      </c>
      <c r="M45" s="33">
        <v>1936</v>
      </c>
      <c r="N45" s="4"/>
      <c r="O45" s="26"/>
      <c r="P45" s="15"/>
      <c r="Q45" s="37" t="s">
        <v>95</v>
      </c>
      <c r="R45" s="3" t="s">
        <v>96</v>
      </c>
      <c r="S45" s="4" t="s">
        <v>96</v>
      </c>
      <c r="T45" s="4">
        <v>0.57999999999999996</v>
      </c>
      <c r="U45" s="33">
        <v>1948</v>
      </c>
      <c r="V45" s="4"/>
      <c r="W45" s="26"/>
    </row>
    <row r="46" spans="1:23" ht="15" customHeight="1" x14ac:dyDescent="0.15">
      <c r="A46" s="37" t="s">
        <v>97</v>
      </c>
      <c r="B46" s="3">
        <v>0.55000000000000004</v>
      </c>
      <c r="C46" s="4">
        <v>0.54</v>
      </c>
      <c r="D46" s="4">
        <v>0.51</v>
      </c>
      <c r="E46" s="33">
        <v>338</v>
      </c>
      <c r="F46" s="4"/>
      <c r="G46" s="26"/>
      <c r="H46" s="15"/>
      <c r="I46" s="37" t="s">
        <v>97</v>
      </c>
      <c r="J46" s="3">
        <v>0.57999999999999996</v>
      </c>
      <c r="K46" s="4">
        <v>0.57999999999999996</v>
      </c>
      <c r="L46" s="4">
        <v>0.57999999999999996</v>
      </c>
      <c r="M46" s="33">
        <v>1936</v>
      </c>
      <c r="N46" s="4"/>
      <c r="O46" s="26"/>
      <c r="P46" s="15"/>
      <c r="Q46" s="37" t="s">
        <v>97</v>
      </c>
      <c r="R46" s="3">
        <v>0.64</v>
      </c>
      <c r="S46" s="4">
        <v>0.62</v>
      </c>
      <c r="T46" s="4">
        <v>0.57999999999999996</v>
      </c>
      <c r="U46" s="33">
        <v>1948</v>
      </c>
      <c r="V46" s="4"/>
      <c r="W46" s="26"/>
    </row>
    <row r="47" spans="1:23" ht="15" customHeight="1" x14ac:dyDescent="0.15">
      <c r="A47" s="37" t="s">
        <v>98</v>
      </c>
      <c r="B47" s="3">
        <v>0.55000000000000004</v>
      </c>
      <c r="C47" s="4">
        <v>0.53</v>
      </c>
      <c r="D47" s="4">
        <v>0.51</v>
      </c>
      <c r="E47" s="33">
        <v>338</v>
      </c>
      <c r="F47" s="4"/>
      <c r="G47" s="26"/>
      <c r="H47" s="15"/>
      <c r="I47" s="37" t="s">
        <v>98</v>
      </c>
      <c r="J47" s="3">
        <v>0.57999999999999996</v>
      </c>
      <c r="K47" s="4">
        <v>0.57999999999999996</v>
      </c>
      <c r="L47" s="4">
        <v>0.57999999999999996</v>
      </c>
      <c r="M47" s="33">
        <v>1936</v>
      </c>
      <c r="N47" s="4"/>
      <c r="O47" s="26"/>
      <c r="P47" s="15"/>
      <c r="Q47" s="37" t="s">
        <v>98</v>
      </c>
      <c r="R47" s="3">
        <v>0.67</v>
      </c>
      <c r="S47" s="4">
        <v>0.57999999999999996</v>
      </c>
      <c r="T47" s="4">
        <v>0.56999999999999995</v>
      </c>
      <c r="U47" s="33">
        <v>1948</v>
      </c>
      <c r="V47" s="4"/>
      <c r="W47" s="26"/>
    </row>
    <row r="48" spans="1:23" ht="15" customHeight="1" x14ac:dyDescent="0.15">
      <c r="A48" s="38"/>
      <c r="B48" s="17"/>
      <c r="C48" s="17"/>
      <c r="D48" s="17"/>
      <c r="E48" s="31"/>
      <c r="F48" s="17"/>
      <c r="G48" s="25"/>
      <c r="H48" s="18"/>
      <c r="I48" s="38"/>
      <c r="J48" s="17"/>
      <c r="K48" s="17"/>
      <c r="L48" s="17"/>
      <c r="M48" s="31"/>
      <c r="N48" s="17"/>
      <c r="O48" s="25"/>
      <c r="P48" s="18"/>
      <c r="Q48" s="38"/>
      <c r="R48" s="17"/>
      <c r="S48" s="17"/>
      <c r="T48" s="17"/>
      <c r="U48" s="31"/>
      <c r="V48" s="17"/>
      <c r="W48" s="25"/>
    </row>
    <row r="49" spans="1:23" ht="15" customHeight="1" x14ac:dyDescent="0.15">
      <c r="A49" s="43" t="s">
        <v>24</v>
      </c>
      <c r="B49" s="44"/>
      <c r="C49" s="44"/>
      <c r="D49" s="44"/>
      <c r="E49" s="44"/>
      <c r="F49" s="44"/>
      <c r="G49" s="44"/>
      <c r="H49" s="18"/>
      <c r="I49" s="43" t="s">
        <v>25</v>
      </c>
      <c r="J49" s="44"/>
      <c r="K49" s="44"/>
      <c r="L49" s="44"/>
      <c r="M49" s="44"/>
      <c r="N49" s="44"/>
      <c r="O49" s="44"/>
      <c r="P49" s="18"/>
      <c r="Q49" s="43" t="s">
        <v>26</v>
      </c>
      <c r="R49" s="44"/>
      <c r="S49" s="44"/>
      <c r="T49" s="44"/>
      <c r="U49" s="44"/>
      <c r="V49" s="44"/>
      <c r="W49" s="44"/>
    </row>
    <row r="50" spans="1:23" ht="15" customHeight="1" x14ac:dyDescent="0.15">
      <c r="A50" s="28"/>
      <c r="B50" s="14" t="s">
        <v>3</v>
      </c>
      <c r="C50" s="14" t="s">
        <v>4</v>
      </c>
      <c r="D50" s="14" t="s">
        <v>5</v>
      </c>
      <c r="E50" s="28" t="s">
        <v>6</v>
      </c>
      <c r="F50" s="14" t="s">
        <v>7</v>
      </c>
      <c r="G50" s="22" t="s">
        <v>8</v>
      </c>
      <c r="H50" s="15"/>
      <c r="I50" s="28"/>
      <c r="J50" s="14" t="s">
        <v>3</v>
      </c>
      <c r="K50" s="14" t="s">
        <v>4</v>
      </c>
      <c r="L50" s="14" t="s">
        <v>5</v>
      </c>
      <c r="M50" s="28" t="s">
        <v>6</v>
      </c>
      <c r="N50" s="14" t="s">
        <v>7</v>
      </c>
      <c r="O50" s="22" t="s">
        <v>8</v>
      </c>
      <c r="P50" s="15"/>
      <c r="Q50" s="28"/>
      <c r="R50" s="14" t="s">
        <v>3</v>
      </c>
      <c r="S50" s="14" t="s">
        <v>4</v>
      </c>
      <c r="T50" s="14" t="s">
        <v>5</v>
      </c>
      <c r="U50" s="28" t="s">
        <v>6</v>
      </c>
      <c r="V50" s="14" t="s">
        <v>7</v>
      </c>
      <c r="W50" s="22" t="s">
        <v>8</v>
      </c>
    </row>
    <row r="51" spans="1:23" ht="15" customHeight="1" x14ac:dyDescent="0.15">
      <c r="A51" s="35">
        <v>0</v>
      </c>
      <c r="B51" s="1">
        <v>0.64</v>
      </c>
      <c r="C51" s="2">
        <v>0.39</v>
      </c>
      <c r="D51" s="2">
        <v>0.48</v>
      </c>
      <c r="E51" s="32">
        <v>163</v>
      </c>
      <c r="F51" s="2" t="s">
        <v>236</v>
      </c>
      <c r="G51" s="5">
        <v>0.59325153374233097</v>
      </c>
      <c r="H51" s="15"/>
      <c r="I51" s="35">
        <v>0</v>
      </c>
      <c r="J51" s="1">
        <v>0.66</v>
      </c>
      <c r="K51" s="2">
        <v>0.27</v>
      </c>
      <c r="L51" s="2">
        <v>0.38</v>
      </c>
      <c r="M51" s="32">
        <v>915</v>
      </c>
      <c r="N51" s="2" t="s">
        <v>376</v>
      </c>
      <c r="O51" s="5">
        <v>0.572608553705517</v>
      </c>
      <c r="P51" s="15"/>
      <c r="Q51" s="35">
        <v>0</v>
      </c>
      <c r="R51" s="1">
        <v>0.7</v>
      </c>
      <c r="S51" s="2">
        <v>0.34</v>
      </c>
      <c r="T51" s="2">
        <v>0.46</v>
      </c>
      <c r="U51" s="32">
        <v>881</v>
      </c>
      <c r="V51" s="2" t="s">
        <v>492</v>
      </c>
      <c r="W51" s="5">
        <v>0.60897293375615802</v>
      </c>
    </row>
    <row r="52" spans="1:23" ht="15" customHeight="1" x14ac:dyDescent="0.15">
      <c r="A52" s="36">
        <v>1</v>
      </c>
      <c r="B52" s="3">
        <v>0.57999999999999996</v>
      </c>
      <c r="C52" s="4">
        <v>0.8</v>
      </c>
      <c r="D52" s="4">
        <v>0.67</v>
      </c>
      <c r="E52" s="33">
        <v>175</v>
      </c>
      <c r="F52" s="4" t="s">
        <v>237</v>
      </c>
      <c r="G52" s="26"/>
      <c r="H52" s="15"/>
      <c r="I52" s="36">
        <v>1</v>
      </c>
      <c r="J52" s="3">
        <v>0.56999999999999995</v>
      </c>
      <c r="K52" s="4">
        <v>0.88</v>
      </c>
      <c r="L52" s="4">
        <v>0.69</v>
      </c>
      <c r="M52" s="33">
        <v>1021</v>
      </c>
      <c r="N52" s="4" t="s">
        <v>377</v>
      </c>
      <c r="O52" s="26"/>
      <c r="P52" s="15"/>
      <c r="Q52" s="36">
        <v>1</v>
      </c>
      <c r="R52" s="3">
        <v>0.62</v>
      </c>
      <c r="S52" s="4">
        <v>0.88</v>
      </c>
      <c r="T52" s="4">
        <v>0.72</v>
      </c>
      <c r="U52" s="33">
        <v>1067</v>
      </c>
      <c r="V52" s="4" t="s">
        <v>493</v>
      </c>
      <c r="W52" s="26"/>
    </row>
    <row r="53" spans="1:23" ht="15" customHeight="1" x14ac:dyDescent="0.15">
      <c r="A53" s="37" t="s">
        <v>95</v>
      </c>
      <c r="B53" s="3" t="s">
        <v>96</v>
      </c>
      <c r="C53" s="4" t="s">
        <v>96</v>
      </c>
      <c r="D53" s="4">
        <v>0.6</v>
      </c>
      <c r="E53" s="33">
        <v>338</v>
      </c>
      <c r="F53" s="4"/>
      <c r="G53" s="26"/>
      <c r="H53" s="15"/>
      <c r="I53" s="37" t="s">
        <v>95</v>
      </c>
      <c r="J53" s="3" t="s">
        <v>96</v>
      </c>
      <c r="K53" s="4" t="s">
        <v>96</v>
      </c>
      <c r="L53" s="4">
        <v>0.59</v>
      </c>
      <c r="M53" s="33">
        <v>1936</v>
      </c>
      <c r="N53" s="4"/>
      <c r="O53" s="26"/>
      <c r="P53" s="15"/>
      <c r="Q53" s="37" t="s">
        <v>95</v>
      </c>
      <c r="R53" s="3" t="s">
        <v>96</v>
      </c>
      <c r="S53" s="4" t="s">
        <v>96</v>
      </c>
      <c r="T53" s="4">
        <v>0.63</v>
      </c>
      <c r="U53" s="33">
        <v>1948</v>
      </c>
      <c r="V53" s="4"/>
      <c r="W53" s="26"/>
    </row>
    <row r="54" spans="1:23" ht="15" customHeight="1" x14ac:dyDescent="0.15">
      <c r="A54" s="37" t="s">
        <v>97</v>
      </c>
      <c r="B54" s="3">
        <v>0.61</v>
      </c>
      <c r="C54" s="4">
        <v>0.59</v>
      </c>
      <c r="D54" s="4">
        <v>0.57999999999999996</v>
      </c>
      <c r="E54" s="33">
        <v>338</v>
      </c>
      <c r="F54" s="4"/>
      <c r="G54" s="26"/>
      <c r="H54" s="15"/>
      <c r="I54" s="37" t="s">
        <v>97</v>
      </c>
      <c r="J54" s="3">
        <v>0.62</v>
      </c>
      <c r="K54" s="4">
        <v>0.56999999999999995</v>
      </c>
      <c r="L54" s="4">
        <v>0.54</v>
      </c>
      <c r="M54" s="33">
        <v>1936</v>
      </c>
      <c r="N54" s="4"/>
      <c r="O54" s="26"/>
      <c r="P54" s="15"/>
      <c r="Q54" s="37" t="s">
        <v>97</v>
      </c>
      <c r="R54" s="3">
        <v>0.66</v>
      </c>
      <c r="S54" s="4">
        <v>0.61</v>
      </c>
      <c r="T54" s="4">
        <v>0.59</v>
      </c>
      <c r="U54" s="33">
        <v>1948</v>
      </c>
      <c r="V54" s="4"/>
      <c r="W54" s="26"/>
    </row>
    <row r="55" spans="1:23" ht="15" customHeight="1" x14ac:dyDescent="0.15">
      <c r="A55" s="37" t="s">
        <v>98</v>
      </c>
      <c r="B55" s="3">
        <v>0.61</v>
      </c>
      <c r="C55" s="4">
        <v>0.6</v>
      </c>
      <c r="D55" s="4">
        <v>0.57999999999999996</v>
      </c>
      <c r="E55" s="33">
        <v>338</v>
      </c>
      <c r="F55" s="4"/>
      <c r="G55" s="26"/>
      <c r="H55" s="15"/>
      <c r="I55" s="37" t="s">
        <v>98</v>
      </c>
      <c r="J55" s="3">
        <v>0.62</v>
      </c>
      <c r="K55" s="4">
        <v>0.59</v>
      </c>
      <c r="L55" s="4">
        <v>0.55000000000000004</v>
      </c>
      <c r="M55" s="33">
        <v>1936</v>
      </c>
      <c r="N55" s="4"/>
      <c r="O55" s="26"/>
      <c r="P55" s="15"/>
      <c r="Q55" s="37" t="s">
        <v>98</v>
      </c>
      <c r="R55" s="3">
        <v>0.65</v>
      </c>
      <c r="S55" s="4">
        <v>0.63</v>
      </c>
      <c r="T55" s="4">
        <v>0.6</v>
      </c>
      <c r="U55" s="33">
        <v>1948</v>
      </c>
      <c r="V55" s="4"/>
      <c r="W55" s="26"/>
    </row>
    <row r="56" spans="1:23" ht="15" customHeight="1" x14ac:dyDescent="0.15">
      <c r="A56" s="38"/>
      <c r="B56" s="17"/>
      <c r="C56" s="17"/>
      <c r="D56" s="17"/>
      <c r="E56" s="31"/>
      <c r="F56" s="17"/>
      <c r="G56" s="25"/>
      <c r="H56" s="18"/>
      <c r="I56" s="38"/>
      <c r="J56" s="17"/>
      <c r="K56" s="17"/>
      <c r="L56" s="17"/>
      <c r="M56" s="31"/>
      <c r="N56" s="17"/>
      <c r="O56" s="25"/>
      <c r="P56" s="18"/>
      <c r="Q56" s="38"/>
      <c r="R56" s="17"/>
      <c r="S56" s="17"/>
      <c r="T56" s="17"/>
      <c r="U56" s="31"/>
      <c r="V56" s="17"/>
      <c r="W56" s="25"/>
    </row>
    <row r="57" spans="1:23" ht="15" customHeight="1" x14ac:dyDescent="0.15">
      <c r="A57" s="43" t="s">
        <v>27</v>
      </c>
      <c r="B57" s="44"/>
      <c r="C57" s="44"/>
      <c r="D57" s="44"/>
      <c r="E57" s="44"/>
      <c r="F57" s="44"/>
      <c r="G57" s="44"/>
      <c r="H57" s="18"/>
      <c r="I57" s="43" t="s">
        <v>28</v>
      </c>
      <c r="J57" s="44"/>
      <c r="K57" s="44"/>
      <c r="L57" s="44"/>
      <c r="M57" s="44"/>
      <c r="N57" s="44"/>
      <c r="O57" s="44"/>
      <c r="P57" s="18"/>
      <c r="Q57" s="43" t="s">
        <v>29</v>
      </c>
      <c r="R57" s="44"/>
      <c r="S57" s="44"/>
      <c r="T57" s="44"/>
      <c r="U57" s="44"/>
      <c r="V57" s="44"/>
      <c r="W57" s="44"/>
    </row>
    <row r="58" spans="1:23" ht="15" customHeight="1" x14ac:dyDescent="0.15">
      <c r="A58" s="28"/>
      <c r="B58" s="14" t="s">
        <v>3</v>
      </c>
      <c r="C58" s="14" t="s">
        <v>4</v>
      </c>
      <c r="D58" s="14" t="s">
        <v>5</v>
      </c>
      <c r="E58" s="28" t="s">
        <v>6</v>
      </c>
      <c r="F58" s="14" t="s">
        <v>7</v>
      </c>
      <c r="G58" s="22" t="s">
        <v>8</v>
      </c>
      <c r="H58" s="15"/>
      <c r="I58" s="28"/>
      <c r="J58" s="14" t="s">
        <v>3</v>
      </c>
      <c r="K58" s="14" t="s">
        <v>4</v>
      </c>
      <c r="L58" s="14" t="s">
        <v>5</v>
      </c>
      <c r="M58" s="28" t="s">
        <v>6</v>
      </c>
      <c r="N58" s="14" t="s">
        <v>7</v>
      </c>
      <c r="O58" s="22" t="s">
        <v>8</v>
      </c>
      <c r="P58" s="15"/>
      <c r="Q58" s="28"/>
      <c r="R58" s="14" t="s">
        <v>3</v>
      </c>
      <c r="S58" s="14" t="s">
        <v>4</v>
      </c>
      <c r="T58" s="14" t="s">
        <v>5</v>
      </c>
      <c r="U58" s="28" t="s">
        <v>6</v>
      </c>
      <c r="V58" s="14" t="s">
        <v>7</v>
      </c>
      <c r="W58" s="22" t="s">
        <v>8</v>
      </c>
    </row>
    <row r="59" spans="1:23" ht="15" customHeight="1" x14ac:dyDescent="0.15">
      <c r="A59" s="35">
        <v>0</v>
      </c>
      <c r="B59" s="1">
        <v>0.56999999999999995</v>
      </c>
      <c r="C59" s="2">
        <v>0.55000000000000004</v>
      </c>
      <c r="D59" s="2">
        <v>0.56000000000000005</v>
      </c>
      <c r="E59" s="32">
        <v>163</v>
      </c>
      <c r="F59" s="2" t="s">
        <v>342</v>
      </c>
      <c r="G59" s="5">
        <v>0.58443470639789596</v>
      </c>
      <c r="H59" s="15"/>
      <c r="I59" s="35">
        <v>0</v>
      </c>
      <c r="J59" s="1">
        <v>0.59</v>
      </c>
      <c r="K59" s="2">
        <v>0.44</v>
      </c>
      <c r="L59" s="2">
        <v>0.51</v>
      </c>
      <c r="M59" s="32">
        <v>915</v>
      </c>
      <c r="N59" s="2" t="s">
        <v>378</v>
      </c>
      <c r="O59" s="5">
        <v>0.58364455719507802</v>
      </c>
      <c r="P59" s="15"/>
      <c r="Q59" s="35">
        <v>0</v>
      </c>
      <c r="R59" s="1">
        <v>0.63</v>
      </c>
      <c r="S59" s="2">
        <v>0.36</v>
      </c>
      <c r="T59" s="2">
        <v>0.46</v>
      </c>
      <c r="U59" s="32">
        <v>881</v>
      </c>
      <c r="V59" s="2" t="s">
        <v>494</v>
      </c>
      <c r="W59" s="5">
        <v>0.59321753524100895</v>
      </c>
    </row>
    <row r="60" spans="1:23" ht="15" customHeight="1" x14ac:dyDescent="0.15">
      <c r="A60" s="36">
        <v>1</v>
      </c>
      <c r="B60" s="3">
        <v>0.6</v>
      </c>
      <c r="C60" s="4">
        <v>0.62</v>
      </c>
      <c r="D60" s="4">
        <v>0.61</v>
      </c>
      <c r="E60" s="33">
        <v>175</v>
      </c>
      <c r="F60" s="4" t="s">
        <v>343</v>
      </c>
      <c r="G60" s="26"/>
      <c r="H60" s="15"/>
      <c r="I60" s="36">
        <v>1</v>
      </c>
      <c r="J60" s="3">
        <v>0.59</v>
      </c>
      <c r="K60" s="4">
        <v>0.73</v>
      </c>
      <c r="L60" s="4">
        <v>0.65</v>
      </c>
      <c r="M60" s="33">
        <v>1021</v>
      </c>
      <c r="N60" s="4" t="s">
        <v>379</v>
      </c>
      <c r="O60" s="26"/>
      <c r="P60" s="15"/>
      <c r="Q60" s="36">
        <v>1</v>
      </c>
      <c r="R60" s="3">
        <v>0.61</v>
      </c>
      <c r="S60" s="4">
        <v>0.83</v>
      </c>
      <c r="T60" s="4">
        <v>0.7</v>
      </c>
      <c r="U60" s="33">
        <v>1067</v>
      </c>
      <c r="V60" s="4" t="s">
        <v>226</v>
      </c>
      <c r="W60" s="26"/>
    </row>
    <row r="61" spans="1:23" ht="15" customHeight="1" x14ac:dyDescent="0.15">
      <c r="A61" s="37" t="s">
        <v>95</v>
      </c>
      <c r="B61" s="3" t="s">
        <v>96</v>
      </c>
      <c r="C61" s="4" t="s">
        <v>96</v>
      </c>
      <c r="D61" s="4">
        <v>0.59</v>
      </c>
      <c r="E61" s="33">
        <v>338</v>
      </c>
      <c r="F61" s="4"/>
      <c r="G61" s="26"/>
      <c r="H61" s="15"/>
      <c r="I61" s="37" t="s">
        <v>95</v>
      </c>
      <c r="J61" s="3" t="s">
        <v>96</v>
      </c>
      <c r="K61" s="4" t="s">
        <v>96</v>
      </c>
      <c r="L61" s="4">
        <v>0.59</v>
      </c>
      <c r="M61" s="33">
        <v>1936</v>
      </c>
      <c r="N61" s="4"/>
      <c r="O61" s="26"/>
      <c r="P61" s="15"/>
      <c r="Q61" s="37" t="s">
        <v>95</v>
      </c>
      <c r="R61" s="3" t="s">
        <v>96</v>
      </c>
      <c r="S61" s="4" t="s">
        <v>96</v>
      </c>
      <c r="T61" s="4">
        <v>0.62</v>
      </c>
      <c r="U61" s="33">
        <v>1948</v>
      </c>
      <c r="V61" s="4"/>
      <c r="W61" s="26"/>
    </row>
    <row r="62" spans="1:23" ht="15" customHeight="1" x14ac:dyDescent="0.15">
      <c r="A62" s="37" t="s">
        <v>97</v>
      </c>
      <c r="B62" s="3">
        <v>0.57999999999999996</v>
      </c>
      <c r="C62" s="4">
        <v>0.57999999999999996</v>
      </c>
      <c r="D62" s="4">
        <v>0.57999999999999996</v>
      </c>
      <c r="E62" s="33">
        <v>338</v>
      </c>
      <c r="F62" s="4"/>
      <c r="G62" s="26"/>
      <c r="H62" s="15"/>
      <c r="I62" s="37" t="s">
        <v>97</v>
      </c>
      <c r="J62" s="3">
        <v>0.59</v>
      </c>
      <c r="K62" s="4">
        <v>0.57999999999999996</v>
      </c>
      <c r="L62" s="4">
        <v>0.57999999999999996</v>
      </c>
      <c r="M62" s="33">
        <v>1936</v>
      </c>
      <c r="N62" s="4"/>
      <c r="O62" s="26"/>
      <c r="P62" s="15"/>
      <c r="Q62" s="37" t="s">
        <v>97</v>
      </c>
      <c r="R62" s="3">
        <v>0.62</v>
      </c>
      <c r="S62" s="4">
        <v>0.59</v>
      </c>
      <c r="T62" s="4">
        <v>0.57999999999999996</v>
      </c>
      <c r="U62" s="33">
        <v>1948</v>
      </c>
      <c r="V62" s="4"/>
      <c r="W62" s="26"/>
    </row>
    <row r="63" spans="1:23" ht="15" customHeight="1" x14ac:dyDescent="0.15">
      <c r="A63" s="37" t="s">
        <v>98</v>
      </c>
      <c r="B63" s="3">
        <v>0.59</v>
      </c>
      <c r="C63" s="4">
        <v>0.59</v>
      </c>
      <c r="D63" s="4">
        <v>0.59</v>
      </c>
      <c r="E63" s="33">
        <v>338</v>
      </c>
      <c r="F63" s="4"/>
      <c r="G63" s="26"/>
      <c r="H63" s="15"/>
      <c r="I63" s="37" t="s">
        <v>98</v>
      </c>
      <c r="J63" s="3">
        <v>0.59</v>
      </c>
      <c r="K63" s="4">
        <v>0.59</v>
      </c>
      <c r="L63" s="4">
        <v>0.57999999999999996</v>
      </c>
      <c r="M63" s="33">
        <v>1936</v>
      </c>
      <c r="N63" s="4"/>
      <c r="O63" s="26"/>
      <c r="P63" s="15"/>
      <c r="Q63" s="37" t="s">
        <v>98</v>
      </c>
      <c r="R63" s="3">
        <v>0.62</v>
      </c>
      <c r="S63" s="4">
        <v>0.62</v>
      </c>
      <c r="T63" s="4">
        <v>0.59</v>
      </c>
      <c r="U63" s="33">
        <v>1948</v>
      </c>
      <c r="V63" s="4"/>
      <c r="W63" s="26"/>
    </row>
    <row r="64" spans="1:23" ht="15" customHeight="1" x14ac:dyDescent="0.15">
      <c r="A64" s="38"/>
      <c r="B64" s="17"/>
      <c r="C64" s="17"/>
      <c r="D64" s="17"/>
      <c r="E64" s="31"/>
      <c r="F64" s="17"/>
      <c r="G64" s="25"/>
      <c r="H64" s="18"/>
      <c r="I64" s="38"/>
      <c r="J64" s="17"/>
      <c r="K64" s="17"/>
      <c r="L64" s="17"/>
      <c r="M64" s="31"/>
      <c r="N64" s="17"/>
      <c r="O64" s="25"/>
      <c r="P64" s="18"/>
      <c r="Q64" s="38"/>
      <c r="R64" s="17"/>
      <c r="S64" s="17"/>
      <c r="T64" s="17"/>
      <c r="U64" s="31"/>
      <c r="V64" s="17"/>
      <c r="W64" s="25"/>
    </row>
    <row r="65" spans="1:23" ht="15" customHeight="1" x14ac:dyDescent="0.15">
      <c r="A65" s="43" t="s">
        <v>30</v>
      </c>
      <c r="B65" s="44"/>
      <c r="C65" s="44"/>
      <c r="D65" s="44"/>
      <c r="E65" s="44"/>
      <c r="F65" s="44"/>
      <c r="G65" s="44"/>
      <c r="H65" s="18"/>
      <c r="I65" s="43" t="s">
        <v>31</v>
      </c>
      <c r="J65" s="44"/>
      <c r="K65" s="44"/>
      <c r="L65" s="44"/>
      <c r="M65" s="44"/>
      <c r="N65" s="44"/>
      <c r="O65" s="44"/>
      <c r="P65" s="18"/>
      <c r="Q65" s="43" t="s">
        <v>32</v>
      </c>
      <c r="R65" s="44"/>
      <c r="S65" s="44"/>
      <c r="T65" s="44"/>
      <c r="U65" s="44"/>
      <c r="V65" s="44"/>
      <c r="W65" s="44"/>
    </row>
    <row r="66" spans="1:23" ht="15" customHeight="1" x14ac:dyDescent="0.15">
      <c r="A66" s="28"/>
      <c r="B66" s="14" t="s">
        <v>3</v>
      </c>
      <c r="C66" s="14" t="s">
        <v>4</v>
      </c>
      <c r="D66" s="14" t="s">
        <v>5</v>
      </c>
      <c r="E66" s="28" t="s">
        <v>6</v>
      </c>
      <c r="F66" s="14" t="s">
        <v>7</v>
      </c>
      <c r="G66" s="22" t="s">
        <v>8</v>
      </c>
      <c r="H66" s="15"/>
      <c r="I66" s="28"/>
      <c r="J66" s="14" t="s">
        <v>3</v>
      </c>
      <c r="K66" s="14" t="s">
        <v>4</v>
      </c>
      <c r="L66" s="14" t="s">
        <v>5</v>
      </c>
      <c r="M66" s="28" t="s">
        <v>6</v>
      </c>
      <c r="N66" s="14" t="s">
        <v>7</v>
      </c>
      <c r="O66" s="22" t="s">
        <v>8</v>
      </c>
      <c r="P66" s="15"/>
      <c r="Q66" s="28"/>
      <c r="R66" s="14" t="s">
        <v>3</v>
      </c>
      <c r="S66" s="14" t="s">
        <v>4</v>
      </c>
      <c r="T66" s="14" t="s">
        <v>5</v>
      </c>
      <c r="U66" s="28" t="s">
        <v>6</v>
      </c>
      <c r="V66" s="14" t="s">
        <v>7</v>
      </c>
      <c r="W66" s="22" t="s">
        <v>8</v>
      </c>
    </row>
    <row r="67" spans="1:23" ht="15" customHeight="1" x14ac:dyDescent="0.15">
      <c r="A67" s="35">
        <v>0</v>
      </c>
      <c r="B67" s="1">
        <v>0.49</v>
      </c>
      <c r="C67" s="2">
        <v>0.55000000000000004</v>
      </c>
      <c r="D67" s="2">
        <v>0.52</v>
      </c>
      <c r="E67" s="32">
        <v>163</v>
      </c>
      <c r="F67" s="2" t="s">
        <v>344</v>
      </c>
      <c r="G67" s="5">
        <v>0.51321647677475801</v>
      </c>
      <c r="H67" s="15"/>
      <c r="I67" s="35">
        <v>0</v>
      </c>
      <c r="J67" s="1">
        <v>0.52</v>
      </c>
      <c r="K67" s="2">
        <v>0.52</v>
      </c>
      <c r="L67" s="2">
        <v>0.52</v>
      </c>
      <c r="M67" s="32">
        <v>915</v>
      </c>
      <c r="N67" s="2" t="s">
        <v>380</v>
      </c>
      <c r="O67" s="5">
        <v>0.54284559764079998</v>
      </c>
      <c r="P67" s="15"/>
      <c r="Q67" s="35">
        <v>0</v>
      </c>
      <c r="R67" s="1">
        <v>0.54</v>
      </c>
      <c r="S67" s="2">
        <v>0.77</v>
      </c>
      <c r="T67" s="2">
        <v>0.63</v>
      </c>
      <c r="U67" s="32">
        <v>881</v>
      </c>
      <c r="V67" s="2" t="s">
        <v>495</v>
      </c>
      <c r="W67" s="5">
        <v>0.61119840174803497</v>
      </c>
    </row>
    <row r="68" spans="1:23" ht="15" customHeight="1" x14ac:dyDescent="0.15">
      <c r="A68" s="36">
        <v>1</v>
      </c>
      <c r="B68" s="3">
        <v>0.53</v>
      </c>
      <c r="C68" s="4">
        <v>0.47</v>
      </c>
      <c r="D68" s="4">
        <v>0.5</v>
      </c>
      <c r="E68" s="33">
        <v>175</v>
      </c>
      <c r="F68" s="4" t="s">
        <v>345</v>
      </c>
      <c r="G68" s="26"/>
      <c r="H68" s="15"/>
      <c r="I68" s="36">
        <v>1</v>
      </c>
      <c r="J68" s="3">
        <v>0.56999999999999995</v>
      </c>
      <c r="K68" s="4">
        <v>0.56000000000000005</v>
      </c>
      <c r="L68" s="4">
        <v>0.56999999999999995</v>
      </c>
      <c r="M68" s="33">
        <v>1021</v>
      </c>
      <c r="N68" s="4" t="s">
        <v>381</v>
      </c>
      <c r="O68" s="26"/>
      <c r="P68" s="15"/>
      <c r="Q68" s="36">
        <v>1</v>
      </c>
      <c r="R68" s="3">
        <v>0.7</v>
      </c>
      <c r="S68" s="4">
        <v>0.46</v>
      </c>
      <c r="T68" s="4">
        <v>0.55000000000000004</v>
      </c>
      <c r="U68" s="33">
        <v>1067</v>
      </c>
      <c r="V68" s="4" t="s">
        <v>496</v>
      </c>
      <c r="W68" s="26"/>
    </row>
    <row r="69" spans="1:23" ht="15" customHeight="1" x14ac:dyDescent="0.15">
      <c r="A69" s="37" t="s">
        <v>95</v>
      </c>
      <c r="B69" s="3" t="s">
        <v>96</v>
      </c>
      <c r="C69" s="4" t="s">
        <v>96</v>
      </c>
      <c r="D69" s="4">
        <v>0.51</v>
      </c>
      <c r="E69" s="33">
        <v>338</v>
      </c>
      <c r="F69" s="4"/>
      <c r="G69" s="26"/>
      <c r="H69" s="15"/>
      <c r="I69" s="37" t="s">
        <v>95</v>
      </c>
      <c r="J69" s="3" t="s">
        <v>96</v>
      </c>
      <c r="K69" s="4" t="s">
        <v>96</v>
      </c>
      <c r="L69" s="4">
        <v>0.54</v>
      </c>
      <c r="M69" s="33">
        <v>1936</v>
      </c>
      <c r="N69" s="4"/>
      <c r="O69" s="26"/>
      <c r="P69" s="15"/>
      <c r="Q69" s="37" t="s">
        <v>95</v>
      </c>
      <c r="R69" s="3" t="s">
        <v>96</v>
      </c>
      <c r="S69" s="4" t="s">
        <v>96</v>
      </c>
      <c r="T69" s="4">
        <v>0.6</v>
      </c>
      <c r="U69" s="33">
        <v>1948</v>
      </c>
      <c r="V69" s="4"/>
      <c r="W69" s="26"/>
    </row>
    <row r="70" spans="1:23" ht="15" customHeight="1" x14ac:dyDescent="0.15">
      <c r="A70" s="37" t="s">
        <v>97</v>
      </c>
      <c r="B70" s="3">
        <v>0.51</v>
      </c>
      <c r="C70" s="4">
        <v>0.51</v>
      </c>
      <c r="D70" s="4">
        <v>0.51</v>
      </c>
      <c r="E70" s="33">
        <v>338</v>
      </c>
      <c r="F70" s="4"/>
      <c r="G70" s="26"/>
      <c r="H70" s="15"/>
      <c r="I70" s="37" t="s">
        <v>97</v>
      </c>
      <c r="J70" s="3">
        <v>0.54</v>
      </c>
      <c r="K70" s="4">
        <v>0.54</v>
      </c>
      <c r="L70" s="4">
        <v>0.54</v>
      </c>
      <c r="M70" s="33">
        <v>1936</v>
      </c>
      <c r="N70" s="4"/>
      <c r="O70" s="26"/>
      <c r="P70" s="15"/>
      <c r="Q70" s="37" t="s">
        <v>97</v>
      </c>
      <c r="R70" s="3">
        <v>0.62</v>
      </c>
      <c r="S70" s="4">
        <v>0.61</v>
      </c>
      <c r="T70" s="4">
        <v>0.59</v>
      </c>
      <c r="U70" s="33">
        <v>1948</v>
      </c>
      <c r="V70" s="4"/>
      <c r="W70" s="26"/>
    </row>
    <row r="71" spans="1:23" ht="15" customHeight="1" x14ac:dyDescent="0.15">
      <c r="A71" s="37" t="s">
        <v>98</v>
      </c>
      <c r="B71" s="3">
        <v>0.51</v>
      </c>
      <c r="C71" s="4">
        <v>0.51</v>
      </c>
      <c r="D71" s="4">
        <v>0.51</v>
      </c>
      <c r="E71" s="33">
        <v>338</v>
      </c>
      <c r="F71" s="4"/>
      <c r="G71" s="26"/>
      <c r="H71" s="20"/>
      <c r="I71" s="37" t="s">
        <v>98</v>
      </c>
      <c r="J71" s="3">
        <v>0.54</v>
      </c>
      <c r="K71" s="4">
        <v>0.54</v>
      </c>
      <c r="L71" s="4">
        <v>0.54</v>
      </c>
      <c r="M71" s="33">
        <v>1936</v>
      </c>
      <c r="N71" s="4"/>
      <c r="O71" s="26"/>
      <c r="P71" s="20"/>
      <c r="Q71" s="37" t="s">
        <v>98</v>
      </c>
      <c r="R71" s="3">
        <v>0.63</v>
      </c>
      <c r="S71" s="4">
        <v>0.6</v>
      </c>
      <c r="T71" s="4">
        <v>0.59</v>
      </c>
      <c r="U71" s="33">
        <v>1948</v>
      </c>
      <c r="V71" s="4"/>
      <c r="W71" s="26"/>
    </row>
  </sheetData>
  <mergeCells count="27">
    <mergeCell ref="A1:G1"/>
    <mergeCell ref="I1:O1"/>
    <mergeCell ref="Q1:W1"/>
    <mergeCell ref="A9:G9"/>
    <mergeCell ref="I9:O9"/>
    <mergeCell ref="Q9:W9"/>
    <mergeCell ref="A17:G17"/>
    <mergeCell ref="I17:O17"/>
    <mergeCell ref="Q17:W17"/>
    <mergeCell ref="A25:G25"/>
    <mergeCell ref="I25:O25"/>
    <mergeCell ref="Q25:W25"/>
    <mergeCell ref="A33:G33"/>
    <mergeCell ref="I33:O33"/>
    <mergeCell ref="Q33:W33"/>
    <mergeCell ref="A41:G41"/>
    <mergeCell ref="I41:O41"/>
    <mergeCell ref="Q41:W41"/>
    <mergeCell ref="A65:G65"/>
    <mergeCell ref="I65:O65"/>
    <mergeCell ref="Q65:W65"/>
    <mergeCell ref="A49:G49"/>
    <mergeCell ref="I49:O49"/>
    <mergeCell ref="Q49:W49"/>
    <mergeCell ref="A57:G57"/>
    <mergeCell ref="I57:O57"/>
    <mergeCell ref="Q57:W5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ECC3E-8AAC-2840-9161-FE8B8FFE29C8}">
  <dimension ref="A1:G25"/>
  <sheetViews>
    <sheetView tabSelected="1" workbookViewId="0">
      <selection activeCell="G19" sqref="G19"/>
    </sheetView>
  </sheetViews>
  <sheetFormatPr baseColWidth="10" defaultRowHeight="13" x14ac:dyDescent="0.15"/>
  <cols>
    <col min="2" max="2" width="21.6640625" style="27" customWidth="1"/>
    <col min="3" max="3" width="21.1640625" customWidth="1"/>
    <col min="4" max="6" width="21.6640625" customWidth="1"/>
    <col min="7" max="7" width="21" customWidth="1"/>
  </cols>
  <sheetData>
    <row r="1" spans="1:7" ht="14" x14ac:dyDescent="0.15">
      <c r="A1" s="6" t="s">
        <v>39</v>
      </c>
      <c r="B1" s="45" t="s">
        <v>33</v>
      </c>
      <c r="C1" s="45"/>
      <c r="D1" s="45" t="s">
        <v>34</v>
      </c>
      <c r="E1" s="45"/>
      <c r="F1" s="45" t="s">
        <v>35</v>
      </c>
      <c r="G1" s="45"/>
    </row>
    <row r="2" spans="1:7" ht="14" customHeight="1" x14ac:dyDescent="0.15">
      <c r="A2" s="9" t="s">
        <v>36</v>
      </c>
      <c r="B2" s="39">
        <f>MAX('25%'!G3,'25%'!G11,'25%'!G19,'50%'!G3,'50%'!G11,'50%'!G19,'75%'!G3,'75%'!G11,'75%'!G19,'90%'!G3,'90%'!G11,'90%'!G19,'mean (1998-2023)'!G3,'mean (1998-2023)'!G11,'mean (1998-2023)'!G19)</f>
        <v>0.64087471461187195</v>
      </c>
      <c r="C2" s="9" t="s">
        <v>497</v>
      </c>
      <c r="D2" s="39">
        <f>MAX('25%'!G27,'25%'!G35,'25%'!G43,'50%'!G27,'50%'!G35,'50%'!G43,'75%'!G27,'75%'!G35,'75%'!G43,'90%'!G27,'90%'!G35,'90%'!G43,'mean (1998-2023)'!G27,'mean (1998-2023)'!G35,'mean (1998-2023)'!G43)</f>
        <v>0.65498685363716003</v>
      </c>
      <c r="E2" s="9" t="s">
        <v>500</v>
      </c>
      <c r="F2" s="39">
        <f>MAX('25%'!G51,'25%'!G59,'25%'!G67,'50%'!G51,'50%'!G59,'50%'!G67,'75%'!G51,'75%'!G59,'75%'!G67,'90%'!G51,'90%'!G59,'90%'!G67,'mean (1998-2023)'!G51,'mean (1998-2023)'!G59,'mean (1998-2023)'!G67)</f>
        <v>0.59325153374233097</v>
      </c>
      <c r="G2" s="9" t="s">
        <v>503</v>
      </c>
    </row>
    <row r="3" spans="1:7" ht="14" x14ac:dyDescent="0.15">
      <c r="A3" s="9" t="s">
        <v>37</v>
      </c>
      <c r="B3" s="39">
        <f>MAX('25%'!O3,'25%'!O11,'25%'!O19,'50%'!O3,'50%'!O11,'50%'!O19,'75%'!O3,'75%'!O11,'75%'!O19,'90%'!O3,'90%'!O11,'90%'!O19,'mean (1998-2023)'!O3,'mean (1998-2023)'!O11,'mean (1998-2023)'!O19)</f>
        <v>0.64020797882397396</v>
      </c>
      <c r="C3" s="9" t="s">
        <v>498</v>
      </c>
      <c r="D3" s="39">
        <f>MAX('25%'!O27,'25%'!O35,'25%'!O43,'50%'!O27,'50%'!O35,'50%'!O43,'75%'!O27,'75%'!O35,'75%'!O43,'90%'!O27,'90%'!O35,'90%'!O43,'mean (1998-2023)'!O27,'mean (1998-2023)'!O35,'mean (1998-2023)'!O43)</f>
        <v>0.63031350990886204</v>
      </c>
      <c r="E3" s="9" t="s">
        <v>501</v>
      </c>
      <c r="F3" s="39">
        <f>MAX('25%'!O51,'25%'!O59,'25%'!O67,'50%'!O51,'50%'!O59,'50%'!O67,'75%'!O51,'75%'!O59,'75%'!O67,'90%'!O51,'90%'!O59,'90%'!O67,'mean (1998-2023)'!O51,'mean (1998-2023)'!O59,'mean (1998-2023)'!O67)</f>
        <v>0.59217578394695003</v>
      </c>
      <c r="G3" s="9" t="s">
        <v>504</v>
      </c>
    </row>
    <row r="4" spans="1:7" ht="14" x14ac:dyDescent="0.15">
      <c r="A4" s="9" t="s">
        <v>38</v>
      </c>
      <c r="B4" s="39">
        <f>MAX('25%'!W3,'25%'!W11,'25%'!W19,'50%'!W3,'50%'!W11,'50%'!W19,'75%'!W3,'75%'!W11,'75%'!W19,'90%'!W3,'90%'!W11,'90%'!W19,'mean (1998-2023)'!W3,'mean (1998-2023)'!W11,'mean (1998-2023)'!W19)</f>
        <v>0.68077989935762195</v>
      </c>
      <c r="C4" s="9" t="s">
        <v>499</v>
      </c>
      <c r="D4" s="39">
        <f>MAX('25%'!W27,'25%'!W35,'25%'!W43,'50%'!W27,'50%'!W35,'50%'!W43,'75%'!W27,'75%'!W35,'75%'!W43,'90%'!W27,'90%'!W35,'90%'!W43,'mean (1998-2023)'!W27,'mean (1998-2023)'!W35,'mean (1998-2023)'!W43)</f>
        <v>0.68578971854676296</v>
      </c>
      <c r="E4" s="9" t="s">
        <v>502</v>
      </c>
      <c r="F4" s="39">
        <f>MAX('25%'!W51,'25%'!W59,'25%'!W67,'50%'!W51,'50%'!W59,'50%'!W67,'75%'!W51,'75%'!W59,'75%'!W67,'90%'!W51,'90%'!W59,'90%'!W67,'mean (1998-2023)'!W51,'mean (1998-2023)'!W59,'mean (1998-2023)'!W67)</f>
        <v>0.61119840174803497</v>
      </c>
      <c r="G4" s="9" t="s">
        <v>505</v>
      </c>
    </row>
    <row r="6" spans="1:7" ht="14" x14ac:dyDescent="0.15">
      <c r="A6" s="6" t="s">
        <v>40</v>
      </c>
      <c r="B6" s="45" t="s">
        <v>33</v>
      </c>
      <c r="C6" s="45"/>
      <c r="D6" s="45" t="s">
        <v>34</v>
      </c>
      <c r="E6" s="45"/>
      <c r="F6" s="45" t="s">
        <v>35</v>
      </c>
      <c r="G6" s="45"/>
    </row>
    <row r="7" spans="1:7" ht="14" x14ac:dyDescent="0.15">
      <c r="A7" s="9" t="s">
        <v>36</v>
      </c>
      <c r="B7" s="8">
        <f>MAX('25%'!D5,'25%'!D13,'25%'!D21,'50%'!D5,'50%'!D13,'50%'!D21,'75%'!D5,'75%'!D13,'75%'!D21,'90%'!D5,'90%'!D13,'90%'!D21,'mean (1998-2023)'!D5,'mean (1998-2023)'!D13,'mean (1998-2023)'!D21)</f>
        <v>0.65</v>
      </c>
      <c r="C7" s="9" t="s">
        <v>497</v>
      </c>
      <c r="D7" s="8">
        <f>MAX('25%'!D29,'25%'!D37,'25%'!D45,'50%'!D29,'50%'!D37,'50%'!D45,'75%'!D29,'75%'!D37,'75%'!D45,'90%'!D29,'90%'!D37,'90%'!D45,'mean (1998-2023)'!D29,'mean (1998-2023)'!D37,'mean (1998-2023)'!D45)</f>
        <v>0.65</v>
      </c>
      <c r="E7" s="9" t="s">
        <v>508</v>
      </c>
      <c r="F7" s="8">
        <f>MAX('25%'!D53,'25%'!D61,'25%'!D69,'50%'!D53,'50%'!D61,'50%'!D69,'75%'!D53,'75%'!D61,'75%'!D69,'90%'!D53,'90%'!D61,'90%'!D69,'mean (1998-2023)'!D53,'mean (1998-2023)'!D61,'mean (1998-2023)'!D69)</f>
        <v>0.6</v>
      </c>
      <c r="G7" s="9" t="s">
        <v>503</v>
      </c>
    </row>
    <row r="8" spans="1:7" ht="28" x14ac:dyDescent="0.15">
      <c r="A8" s="9" t="s">
        <v>37</v>
      </c>
      <c r="B8" s="46">
        <f>MAX('25%'!L5,'25%'!L13,'25%'!L21,'50%'!L5,'50%'!L13,'50%'!L21,'75%'!L5,'75%'!L13,'75%'!L21,'90%'!L5,'90%'!L13,'90%'!L21,'mean (1998-2023)'!L5,'mean (1998-2023)'!L13,'mean (1998-2023)'!L21)</f>
        <v>0.64</v>
      </c>
      <c r="C8" s="9" t="s">
        <v>506</v>
      </c>
      <c r="D8" s="46">
        <f>MAX('25%'!L29,'25%'!L37,'25%'!L45,'50%'!L29,'50%'!L37,'50%'!L45,'75%'!L29,'75%'!L37,'75%'!L45,'90%'!L29,'90%'!L37,'90%'!L45,'mean (1998-2023)'!L29,'mean (1998-2023)'!L37,'mean (1998-2023)'!L45)</f>
        <v>0.63</v>
      </c>
      <c r="E8" s="9" t="s">
        <v>509</v>
      </c>
      <c r="F8" s="46">
        <f>MAX('25%'!L53,'25%'!L61,'25%'!L69,'50%'!L53,'50%'!L61,'50%'!L69,'75%'!L53,'75%'!L61,'75%'!L69,'90%'!L53,'90%'!L61,'90%'!L69,'mean (1998-2023)'!L53,'mean (1998-2023)'!L61,'mean (1998-2023)'!L69)</f>
        <v>0.6</v>
      </c>
      <c r="G8" s="9" t="s">
        <v>510</v>
      </c>
    </row>
    <row r="9" spans="1:7" ht="14" x14ac:dyDescent="0.15">
      <c r="A9" s="9" t="s">
        <v>38</v>
      </c>
      <c r="B9" s="46">
        <f>MAX('25%'!T5,'25%'!T13,'25%'!T21,'50%'!T5,'50%'!T13,'50%'!T21,'75%'!T5,'75%'!T13,'75%'!T21,'90%'!T5,'90%'!T13,'90%'!T21,'mean (1998-2023)'!T5,'mean (1998-2023)'!T13,'mean (1998-2023)'!T21)</f>
        <v>0.68</v>
      </c>
      <c r="C9" s="9" t="s">
        <v>507</v>
      </c>
      <c r="D9" s="46">
        <f>MAX('25%'!T29,'25%'!T37,'25%'!T45,'50%'!T29,'50%'!T37,'50%'!T45,'75%'!T29,'75%'!T37,'75%'!T45,'90%'!T29,'90%'!T37,'90%'!T45,'mean (1998-2023)'!T29,'mean (1998-2023)'!T37,'mean (1998-2023)'!T45)</f>
        <v>0.71</v>
      </c>
      <c r="E9" s="9" t="s">
        <v>502</v>
      </c>
      <c r="F9" s="46">
        <f>MAX('25%'!T53,'25%'!T61,'25%'!T69,'50%'!T53,'50%'!T61,'50%'!T69,'75%'!T53,'75%'!T61,'75%'!T69,'90%'!T53,'90%'!T61,'90%'!T69,'mean (1998-2023)'!T53,'mean (1998-2023)'!T61,'mean (1998-2023)'!T69)</f>
        <v>0.63</v>
      </c>
      <c r="G9" s="9" t="s">
        <v>503</v>
      </c>
    </row>
    <row r="12" spans="1:7" x14ac:dyDescent="0.15">
      <c r="B12"/>
    </row>
    <row r="13" spans="1:7" x14ac:dyDescent="0.15">
      <c r="B13"/>
    </row>
    <row r="14" spans="1:7" x14ac:dyDescent="0.15">
      <c r="B14"/>
    </row>
    <row r="15" spans="1:7" x14ac:dyDescent="0.15">
      <c r="B15"/>
    </row>
    <row r="16" spans="1:7" x14ac:dyDescent="0.15">
      <c r="B16"/>
    </row>
    <row r="17" customFormat="1" x14ac:dyDescent="0.15"/>
    <row r="18" customFormat="1" x14ac:dyDescent="0.15"/>
    <row r="19" customFormat="1" x14ac:dyDescent="0.15"/>
    <row r="20" customFormat="1" x14ac:dyDescent="0.15"/>
    <row r="21" customFormat="1" x14ac:dyDescent="0.15"/>
    <row r="22" customFormat="1" x14ac:dyDescent="0.15"/>
    <row r="23" customFormat="1" x14ac:dyDescent="0.15"/>
    <row r="24" customFormat="1" x14ac:dyDescent="0.15"/>
    <row r="25" customFormat="1" x14ac:dyDescent="0.15"/>
  </sheetData>
  <mergeCells count="6">
    <mergeCell ref="B1:C1"/>
    <mergeCell ref="D1:E1"/>
    <mergeCell ref="F1:G1"/>
    <mergeCell ref="B6:C6"/>
    <mergeCell ref="D6:E6"/>
    <mergeCell ref="F6:G6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zero (1995-2023)</vt:lpstr>
      <vt:lpstr>mean (1995-2023)</vt:lpstr>
      <vt:lpstr>median (1995-2023)</vt:lpstr>
      <vt:lpstr>results (1995-2023)</vt:lpstr>
      <vt:lpstr>zero (1998-2023)</vt:lpstr>
      <vt:lpstr>mean (1998-2023)</vt:lpstr>
      <vt:lpstr>median (1998-2023)</vt:lpstr>
      <vt:lpstr>results (1998-2023)</vt:lpstr>
      <vt:lpstr>25%</vt:lpstr>
      <vt:lpstr>50%</vt:lpstr>
      <vt:lpstr>75%</vt:lpstr>
      <vt:lpstr>90%</vt:lpstr>
      <vt:lpstr>results (null values)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a.sala139@campus.unimib.it</cp:lastModifiedBy>
  <dcterms:modified xsi:type="dcterms:W3CDTF">2025-06-06T08:40:16Z</dcterms:modified>
</cp:coreProperties>
</file>