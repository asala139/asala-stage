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na/python/with_venv/stage/"/>
    </mc:Choice>
  </mc:AlternateContent>
  <xr:revisionPtr revIDLastSave="0" documentId="13_ncr:1_{075CDDBE-51F5-C348-97EA-805DACDF49C9}" xr6:coauthVersionLast="47" xr6:coauthVersionMax="47" xr10:uidLastSave="{00000000-0000-0000-0000-000000000000}"/>
  <bookViews>
    <workbookView xWindow="28960" yWindow="660" windowWidth="18960" windowHeight="20780" firstSheet="3" activeTab="3" xr2:uid="{00000000-000D-0000-FFFF-FFFF00000000}"/>
  </bookViews>
  <sheets>
    <sheet name="zero (1995-2023)" sheetId="1" r:id="rId1"/>
    <sheet name="mean (1995-2023)" sheetId="2" r:id="rId2"/>
    <sheet name="median (1995-2023)" sheetId="3" r:id="rId3"/>
    <sheet name="results (1995-2023)" sheetId="7" r:id="rId4"/>
    <sheet name="zero (1998-2023)" sheetId="4" r:id="rId5"/>
    <sheet name="mean (1998-2023)" sheetId="5" r:id="rId6"/>
    <sheet name="median (1998-2023)" sheetId="6" r:id="rId7"/>
    <sheet name="results (1998-2023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F8" i="8"/>
  <c r="F9" i="8"/>
  <c r="B2" i="8"/>
  <c r="D2" i="8"/>
  <c r="F2" i="8"/>
  <c r="B3" i="8"/>
  <c r="D3" i="8"/>
  <c r="F3" i="8"/>
  <c r="B4" i="8"/>
  <c r="D4" i="8"/>
  <c r="F4" i="8"/>
  <c r="B7" i="8"/>
  <c r="D7" i="8"/>
  <c r="B8" i="8"/>
  <c r="D8" i="8"/>
  <c r="B9" i="8"/>
  <c r="D9" i="8"/>
  <c r="F9" i="7"/>
  <c r="D9" i="7"/>
  <c r="B9" i="7"/>
  <c r="F8" i="7"/>
  <c r="D8" i="7"/>
  <c r="B8" i="7"/>
  <c r="F7" i="7"/>
  <c r="D7" i="7"/>
  <c r="B7" i="7"/>
  <c r="F4" i="7"/>
  <c r="F3" i="7"/>
  <c r="F2" i="7"/>
  <c r="D4" i="7"/>
  <c r="D3" i="7"/>
  <c r="D2" i="7"/>
  <c r="B4" i="7"/>
  <c r="B3" i="7"/>
  <c r="B2" i="7"/>
</calcChain>
</file>

<file path=xl/sharedStrings.xml><?xml version="1.0" encoding="utf-8"?>
<sst xmlns="http://schemas.openxmlformats.org/spreadsheetml/2006/main" count="2332" uniqueCount="332">
  <si>
    <t>ITA-ROE-GradientBoostingClassifier</t>
  </si>
  <si>
    <t>EU-ROE-GradientBoostingClassifier</t>
  </si>
  <si>
    <t>USA-ROE-GradientBoostingClassifier</t>
  </si>
  <si>
    <t xml:space="preserve">precision    </t>
  </si>
  <si>
    <t xml:space="preserve">recall  </t>
  </si>
  <si>
    <t xml:space="preserve">f1-score   </t>
  </si>
  <si>
    <t>support</t>
  </si>
  <si>
    <t>confusion matrix</t>
  </si>
  <si>
    <t>roc-auc score</t>
  </si>
  <si>
    <t>ITA-ROE-RandomForestClassifier</t>
  </si>
  <si>
    <t>EU-ROE-RandomForestClassifier</t>
  </si>
  <si>
    <t>USA-ROE-RandomForestClassifier</t>
  </si>
  <si>
    <t>ITA-ROE-MPLClassifier</t>
  </si>
  <si>
    <t>EU-ROE-MPLClassifier</t>
  </si>
  <si>
    <t>USA-ROE-MPLClassifier</t>
  </si>
  <si>
    <t>ITA-ROCE-GradientBoostingClassifier</t>
  </si>
  <si>
    <t>EU-ROCE-GradientBoostingClassifier</t>
  </si>
  <si>
    <t>USA-ROCE-GradientBoostingClassifier</t>
  </si>
  <si>
    <t>ITA-ROCE-RandomForestClassifier</t>
  </si>
  <si>
    <t>EU-ROCE-RandomForestClassifier</t>
  </si>
  <si>
    <t>USA-ROCE-RandomForestClassifier</t>
  </si>
  <si>
    <t>ITA-ROCE-MPLClassifier</t>
  </si>
  <si>
    <t>EU-ROCE-MPLClassifier</t>
  </si>
  <si>
    <t>USA-ROCE-MPLClassifier</t>
  </si>
  <si>
    <t>ITA-UN-GradientBoostingClassifier</t>
  </si>
  <si>
    <t>EU-UN-GradientBoostingClassifier</t>
  </si>
  <si>
    <t>USA-UN-GradientBoostingClassifier</t>
  </si>
  <si>
    <t>ITA-UN-RandomForestClassifier</t>
  </si>
  <si>
    <t>EU-UN-RandomForestClassifier</t>
  </si>
  <si>
    <t>USA-UN-RandomForestClassifier</t>
  </si>
  <si>
    <t>ITA-UN-MPLClassifier</t>
  </si>
  <si>
    <t>EU-UN-MPLClassifier</t>
  </si>
  <si>
    <t>USA-UN-MPLClassifier</t>
  </si>
  <si>
    <t>ROE</t>
  </si>
  <si>
    <t>ROCE</t>
  </si>
  <si>
    <t>Utile Netto</t>
  </si>
  <si>
    <t>ITA</t>
  </si>
  <si>
    <t>EU</t>
  </si>
  <si>
    <t>USA</t>
  </si>
  <si>
    <t>ROC-AUC</t>
  </si>
  <si>
    <t>ACCURACY</t>
  </si>
  <si>
    <t>[[145  47]</t>
  </si>
  <si>
    <t xml:space="preserve"> [ 74  72]]</t>
  </si>
  <si>
    <t>[[121  71]</t>
  </si>
  <si>
    <t xml:space="preserve"> [ 39 107]]</t>
  </si>
  <si>
    <t>[[114  78]</t>
  </si>
  <si>
    <t xml:space="preserve"> [ 73  73]]</t>
  </si>
  <si>
    <t>[[111  51]</t>
  </si>
  <si>
    <t xml:space="preserve"> [ 74 102]]</t>
  </si>
  <si>
    <t>[[116  46]</t>
  </si>
  <si>
    <t xml:space="preserve"> [ 94  82]]</t>
  </si>
  <si>
    <t>[[108  54]</t>
  </si>
  <si>
    <t xml:space="preserve"> [107  69]]</t>
  </si>
  <si>
    <t>[[ 54 109]</t>
  </si>
  <si>
    <t xml:space="preserve"> [ 32 143]]</t>
  </si>
  <si>
    <t>[[ 78  85]</t>
  </si>
  <si>
    <t xml:space="preserve"> [ 57 118]]</t>
  </si>
  <si>
    <t>[[114  49]</t>
  </si>
  <si>
    <t xml:space="preserve"> [107  68]]</t>
  </si>
  <si>
    <t>[[674 402]</t>
  </si>
  <si>
    <t xml:space="preserve"> [313 547]]</t>
  </si>
  <si>
    <t>[[690 386]</t>
  </si>
  <si>
    <t xml:space="preserve"> [325 535]]</t>
  </si>
  <si>
    <t>[[684 392]</t>
  </si>
  <si>
    <t xml:space="preserve"> [368 492]]</t>
  </si>
  <si>
    <t>[[541 393]</t>
  </si>
  <si>
    <t xml:space="preserve"> [332 670]]</t>
  </si>
  <si>
    <t>[[590 344]</t>
  </si>
  <si>
    <t xml:space="preserve"> [392 610]]</t>
  </si>
  <si>
    <t>[[471 463]</t>
  </si>
  <si>
    <t xml:space="preserve"> [319 683]]</t>
  </si>
  <si>
    <t>[[300 615]</t>
  </si>
  <si>
    <t xml:space="preserve"> [152 869]]</t>
  </si>
  <si>
    <t>[[401 514]</t>
  </si>
  <si>
    <t xml:space="preserve"> [267 754]]</t>
  </si>
  <si>
    <t>[[705 210]</t>
  </si>
  <si>
    <t xml:space="preserve"> [646 375]]</t>
  </si>
  <si>
    <t>[[529 458]</t>
  </si>
  <si>
    <t xml:space="preserve"> [194 767]]</t>
  </si>
  <si>
    <t>[[565 422]</t>
  </si>
  <si>
    <t xml:space="preserve"> [262 699]]</t>
  </si>
  <si>
    <t>[[493 494]</t>
  </si>
  <si>
    <t xml:space="preserve"> [263 698]]</t>
  </si>
  <si>
    <t>[[402 406]</t>
  </si>
  <si>
    <t xml:space="preserve"> [179 961]]</t>
  </si>
  <si>
    <t>[[468 340]</t>
  </si>
  <si>
    <t xml:space="preserve"> [278 862]]</t>
  </si>
  <si>
    <t>[[ 115  693]</t>
  </si>
  <si>
    <t xml:space="preserve"> [  59 1081]]</t>
  </si>
  <si>
    <t>[[322 559]</t>
  </si>
  <si>
    <t xml:space="preserve"> [176 891]]</t>
  </si>
  <si>
    <t>[[331 550]</t>
  </si>
  <si>
    <t xml:space="preserve"> [202 865]]</t>
  </si>
  <si>
    <t>[[719 162]</t>
  </si>
  <si>
    <t xml:space="preserve"> [707 360]]</t>
  </si>
  <si>
    <t>    accuracy</t>
  </si>
  <si>
    <t>   </t>
  </si>
  <si>
    <t>   macro avg</t>
  </si>
  <si>
    <t>weighted avg</t>
  </si>
  <si>
    <t>GBC (zero, mean, median)</t>
  </si>
  <si>
    <t>[[675 400]</t>
  </si>
  <si>
    <t xml:space="preserve"> [306 555]]</t>
  </si>
  <si>
    <t>[[724 351]</t>
  </si>
  <si>
    <t xml:space="preserve"> [340 521]]</t>
  </si>
  <si>
    <t>[[395 680]</t>
  </si>
  <si>
    <t xml:space="preserve"> [170 691]]</t>
  </si>
  <si>
    <t>[[608 324]</t>
  </si>
  <si>
    <t xml:space="preserve"> [400 604]]</t>
  </si>
  <si>
    <t>[[624 308]</t>
  </si>
  <si>
    <t xml:space="preserve"> [424 580]]</t>
  </si>
  <si>
    <t>[[491 441]</t>
  </si>
  <si>
    <t xml:space="preserve"> [377 627]]</t>
  </si>
  <si>
    <t>[[260 655]</t>
  </si>
  <si>
    <t xml:space="preserve"> [141 880]]</t>
  </si>
  <si>
    <t>[[394 521]</t>
  </si>
  <si>
    <t xml:space="preserve"> [256 765]]</t>
  </si>
  <si>
    <t>[[125  67]</t>
  </si>
  <si>
    <t xml:space="preserve"> [ 54  92]]</t>
  </si>
  <si>
    <t>[[142  50]</t>
  </si>
  <si>
    <t xml:space="preserve"> [ 80  66]]</t>
  </si>
  <si>
    <t>[[ 90 102]</t>
  </si>
  <si>
    <t xml:space="preserve"> [ 52  94]]</t>
  </si>
  <si>
    <t>[[111  52]</t>
  </si>
  <si>
    <t xml:space="preserve"> [ 73 102]]</t>
  </si>
  <si>
    <t>[[113  50]</t>
  </si>
  <si>
    <t xml:space="preserve"> [ 89  86]]</t>
  </si>
  <si>
    <t>[[109  54]</t>
  </si>
  <si>
    <t xml:space="preserve"> [101  74]]</t>
  </si>
  <si>
    <t>[[ 59 104]</t>
  </si>
  <si>
    <t xml:space="preserve"> [ 33 142]]</t>
  </si>
  <si>
    <t>[[ 87  76]</t>
  </si>
  <si>
    <t xml:space="preserve"> [ 65 110]]</t>
  </si>
  <si>
    <t>[[ 51 112]</t>
  </si>
  <si>
    <t xml:space="preserve"> [ 55 120]]</t>
  </si>
  <si>
    <t>[[536 451]</t>
  </si>
  <si>
    <t>[[559 428]</t>
  </si>
  <si>
    <t>[[951  36]</t>
  </si>
  <si>
    <t xml:space="preserve"> [831 130]]</t>
  </si>
  <si>
    <t>[[452 358]</t>
  </si>
  <si>
    <t xml:space="preserve"> [212 926]]</t>
  </si>
  <si>
    <t>[[462 348]</t>
  </si>
  <si>
    <t xml:space="preserve"> [271 867]]</t>
  </si>
  <si>
    <t>[[  99  711]</t>
  </si>
  <si>
    <t xml:space="preserve"> [  53 1085]]</t>
  </si>
  <si>
    <t>[[303 578]</t>
  </si>
  <si>
    <t xml:space="preserve"> [140 927]]</t>
  </si>
  <si>
    <t>[[334 547]</t>
  </si>
  <si>
    <t xml:space="preserve"> [197 870]]</t>
  </si>
  <si>
    <t>[[864  17]</t>
  </si>
  <si>
    <t xml:space="preserve"> [987  80]]</t>
  </si>
  <si>
    <t>[[128  64]</t>
  </si>
  <si>
    <t xml:space="preserve"> [ 60  86]]</t>
  </si>
  <si>
    <t>[[146  46]</t>
  </si>
  <si>
    <t xml:space="preserve"> [ 77  69]]</t>
  </si>
  <si>
    <t>[[179  13]</t>
  </si>
  <si>
    <t xml:space="preserve"> [134  12]]</t>
  </si>
  <si>
    <t>[[116  47]</t>
  </si>
  <si>
    <t xml:space="preserve"> [ 81  94]]</t>
  </si>
  <si>
    <t>[[120  43]</t>
  </si>
  <si>
    <t xml:space="preserve"> [ 91  84]]</t>
  </si>
  <si>
    <t>[[100  63]</t>
  </si>
  <si>
    <t>[[ 53 110]</t>
  </si>
  <si>
    <t>[[ 79  84]</t>
  </si>
  <si>
    <t xml:space="preserve"> [ 59 116]]</t>
  </si>
  <si>
    <t>[[ 76  87]</t>
  </si>
  <si>
    <t xml:space="preserve"> [ 72 103]]</t>
  </si>
  <si>
    <t>   macro avg </t>
  </si>
  <si>
    <t xml:space="preserve">    </t>
  </si>
  <si>
    <t>GBC (zero)</t>
  </si>
  <si>
    <t>RFC (mean)</t>
  </si>
  <si>
    <t>GBC (mean)</t>
  </si>
  <si>
    <t>GBC (mean) RFC (mean)</t>
  </si>
  <si>
    <t>GBC (zero, mean) </t>
  </si>
  <si>
    <t>GBC (zero, median) RFC (zero, mean, median)</t>
  </si>
  <si>
    <t>[[122  70]</t>
  </si>
  <si>
    <t xml:space="preserve"> [ 51  95]]</t>
  </si>
  <si>
    <t>[[141  51]</t>
  </si>
  <si>
    <t xml:space="preserve"> [ 67  79]]</t>
  </si>
  <si>
    <t>[[165  27]</t>
  </si>
  <si>
    <t xml:space="preserve"> [111  35]]</t>
  </si>
  <si>
    <t>[[114  48]</t>
  </si>
  <si>
    <t>[[119  43]</t>
  </si>
  <si>
    <t xml:space="preserve"> [ 84  92]]</t>
  </si>
  <si>
    <t>[[112  50]</t>
  </si>
  <si>
    <t xml:space="preserve"> [109  67]]</t>
  </si>
  <si>
    <t>[[ 73  90]</t>
  </si>
  <si>
    <t xml:space="preserve"> [ 37 138]]</t>
  </si>
  <si>
    <t>[[ 84  79]</t>
  </si>
  <si>
    <t xml:space="preserve"> [ 58 117]]</t>
  </si>
  <si>
    <t>[[80 83]</t>
  </si>
  <si>
    <t xml:space="preserve"> [76 99]]</t>
  </si>
  <si>
    <t>[[671 405]</t>
  </si>
  <si>
    <t xml:space="preserve"> [311 549]]</t>
  </si>
  <si>
    <t>[[701 375]</t>
  </si>
  <si>
    <t xml:space="preserve"> [326 534]]</t>
  </si>
  <si>
    <t>[[389 687]</t>
  </si>
  <si>
    <t xml:space="preserve"> [188 672]]</t>
  </si>
  <si>
    <t>[[611 323]</t>
  </si>
  <si>
    <t xml:space="preserve"> [409 593]]</t>
  </si>
  <si>
    <t>[[624 310]</t>
  </si>
  <si>
    <t xml:space="preserve"> [429 573]]</t>
  </si>
  <si>
    <t>[[198 736]</t>
  </si>
  <si>
    <t xml:space="preserve"> [108 894]]</t>
  </si>
  <si>
    <t>[[220 695]</t>
  </si>
  <si>
    <t xml:space="preserve"> [101 920]]</t>
  </si>
  <si>
    <t>[[368 547]</t>
  </si>
  <si>
    <t xml:space="preserve"> [246 775]]</t>
  </si>
  <si>
    <t>[[788 127]</t>
  </si>
  <si>
    <t xml:space="preserve"> [765 256]]</t>
  </si>
  <si>
    <t>[[545 442]</t>
  </si>
  <si>
    <t xml:space="preserve"> [206 755]]</t>
  </si>
  <si>
    <t>[[569 418]</t>
  </si>
  <si>
    <t xml:space="preserve"> [250 711]]</t>
  </si>
  <si>
    <t>[[ 92 895]</t>
  </si>
  <si>
    <t xml:space="preserve"> [ 41 920]]</t>
  </si>
  <si>
    <t>[[443 365]</t>
  </si>
  <si>
    <t xml:space="preserve"> [202 938]]</t>
  </si>
  <si>
    <t>[[466 342]</t>
  </si>
  <si>
    <t xml:space="preserve"> [259 881]]</t>
  </si>
  <si>
    <t>[[ 237  571]</t>
  </si>
  <si>
    <t xml:space="preserve"> [ 110 1030]]</t>
  </si>
  <si>
    <t>[[285 596]</t>
  </si>
  <si>
    <t xml:space="preserve"> [134 933]]</t>
  </si>
  <si>
    <t>[[336 545]</t>
  </si>
  <si>
    <t xml:space="preserve"> [194 873]]</t>
  </si>
  <si>
    <t>[[288 593]</t>
  </si>
  <si>
    <t xml:space="preserve"> [185 882]]</t>
  </si>
  <si>
    <t>[[133  59]</t>
  </si>
  <si>
    <t>[[140  52]</t>
  </si>
  <si>
    <t>[[105  87]</t>
  </si>
  <si>
    <t xml:space="preserve"> [ 68  78]]</t>
  </si>
  <si>
    <t>[[123  40]</t>
  </si>
  <si>
    <t xml:space="preserve"> [ 80  95]]</t>
  </si>
  <si>
    <t>[[117  46]</t>
  </si>
  <si>
    <t xml:space="preserve"> [ 86  89]]</t>
  </si>
  <si>
    <t xml:space="preserve"> [ 41 134]]</t>
  </si>
  <si>
    <t>[[ 63 100]</t>
  </si>
  <si>
    <t xml:space="preserve"> [ 35 140]]</t>
  </si>
  <si>
    <t>[[ 83  80]</t>
  </si>
  <si>
    <t xml:space="preserve"> [ 62 113]]</t>
  </si>
  <si>
    <t>[[104  59]</t>
  </si>
  <si>
    <t xml:space="preserve"> [ 95  80]]</t>
  </si>
  <si>
    <t>[[680 395]</t>
  </si>
  <si>
    <t xml:space="preserve"> [315 546]]</t>
  </si>
  <si>
    <t xml:space="preserve"> [351 510]]</t>
  </si>
  <si>
    <t>[[624 451]</t>
  </si>
  <si>
    <t xml:space="preserve"> [366 495]]</t>
  </si>
  <si>
    <t>[[611 321]</t>
  </si>
  <si>
    <t>[[629 303]</t>
  </si>
  <si>
    <t xml:space="preserve"> [422 582]]</t>
  </si>
  <si>
    <t>[[723 209]</t>
  </si>
  <si>
    <t xml:space="preserve"> [671 333]]</t>
  </si>
  <si>
    <t>[[241 674]</t>
  </si>
  <si>
    <t xml:space="preserve"> [116 905]]</t>
  </si>
  <si>
    <t>[[399 516]</t>
  </si>
  <si>
    <t xml:space="preserve"> [257 764]]</t>
  </si>
  <si>
    <t>[[189 726]</t>
  </si>
  <si>
    <t xml:space="preserve"> [113 908]]</t>
  </si>
  <si>
    <t>[[534 453]</t>
  </si>
  <si>
    <t xml:space="preserve"> [186 775]]</t>
  </si>
  <si>
    <t>[[560 427]</t>
  </si>
  <si>
    <t xml:space="preserve"> [249 712]]</t>
  </si>
  <si>
    <t>[[623 364]</t>
  </si>
  <si>
    <t xml:space="preserve"> [431 530]]</t>
  </si>
  <si>
    <t>[[442 369]</t>
  </si>
  <si>
    <t xml:space="preserve"> [210 927]]</t>
  </si>
  <si>
    <t>[[456 355]</t>
  </si>
  <si>
    <t xml:space="preserve"> [263 874]]</t>
  </si>
  <si>
    <t>[[731  80]</t>
  </si>
  <si>
    <t xml:space="preserve"> [804 333]]</t>
  </si>
  <si>
    <t xml:space="preserve"> [135 932]]</t>
  </si>
  <si>
    <t xml:space="preserve"> [201 866]]</t>
  </si>
  <si>
    <t>[[822  59]</t>
  </si>
  <si>
    <t xml:space="preserve"> [895 172]]</t>
  </si>
  <si>
    <t>[[124  68]</t>
  </si>
  <si>
    <t xml:space="preserve"> [ 64  82]]</t>
  </si>
  <si>
    <t>[[144  48]</t>
  </si>
  <si>
    <t xml:space="preserve"> [ 75  71]]</t>
  </si>
  <si>
    <t>[[ 53 139]</t>
  </si>
  <si>
    <t xml:space="preserve"> [ 23 123]]</t>
  </si>
  <si>
    <t>[[112  51]</t>
  </si>
  <si>
    <t xml:space="preserve"> [ 83  92]]</t>
  </si>
  <si>
    <t xml:space="preserve"> [ 88  87]]</t>
  </si>
  <si>
    <t>[[ 58 105]</t>
  </si>
  <si>
    <t xml:space="preserve"> [ 69 106]]</t>
  </si>
  <si>
    <t xml:space="preserve"> [ 36 139]]</t>
  </si>
  <si>
    <t>[[ 93  70]</t>
  </si>
  <si>
    <t xml:space="preserve"> [ 60 115]]</t>
  </si>
  <si>
    <t>[[ 49 114]</t>
  </si>
  <si>
    <t>[[669 406]</t>
  </si>
  <si>
    <t xml:space="preserve"> [309 552]]</t>
  </si>
  <si>
    <t>[[723 352]</t>
  </si>
  <si>
    <t xml:space="preserve"> [368 493]]</t>
  </si>
  <si>
    <t>[[   7 1068]</t>
  </si>
  <si>
    <t xml:space="preserve"> [   5  856]]</t>
  </si>
  <si>
    <t>[[620 312]</t>
  </si>
  <si>
    <t xml:space="preserve"> [406 598]]</t>
  </si>
  <si>
    <t>[[605 327]</t>
  </si>
  <si>
    <t xml:space="preserve"> [412 592]]</t>
  </si>
  <si>
    <t>[[ 46 886]</t>
  </si>
  <si>
    <t xml:space="preserve"> [ 34 970]]</t>
  </si>
  <si>
    <t>[[259 656]</t>
  </si>
  <si>
    <t xml:space="preserve"> [129 892]]</t>
  </si>
  <si>
    <t>[[385 530]</t>
  </si>
  <si>
    <t xml:space="preserve"> [266 755]]</t>
  </si>
  <si>
    <t>[[199 716]</t>
  </si>
  <si>
    <t xml:space="preserve"> [123 898]]</t>
  </si>
  <si>
    <t>[[532 454]</t>
  </si>
  <si>
    <t xml:space="preserve"> [197 765]]</t>
  </si>
  <si>
    <t>[[549 437]</t>
  </si>
  <si>
    <t xml:space="preserve"> [244 718]]</t>
  </si>
  <si>
    <t>[[378 608]</t>
  </si>
  <si>
    <t xml:space="preserve"> [199 763]]</t>
  </si>
  <si>
    <t>[[426 384]</t>
  </si>
  <si>
    <t xml:space="preserve"> [191 947]]</t>
  </si>
  <si>
    <t>[[443 367]</t>
  </si>
  <si>
    <t xml:space="preserve"> [261 877]]</t>
  </si>
  <si>
    <t>[[241 569]</t>
  </si>
  <si>
    <t xml:space="preserve"> [174 964]]</t>
  </si>
  <si>
    <t>[[296 585]</t>
  </si>
  <si>
    <t xml:space="preserve"> [144 923]]</t>
  </si>
  <si>
    <t>[[338 543]</t>
  </si>
  <si>
    <t xml:space="preserve"> [193 874]]</t>
  </si>
  <si>
    <t>[[425 456]</t>
  </si>
  <si>
    <t xml:space="preserve"> [313 754]]</t>
  </si>
  <si>
    <t>RFC (zero)</t>
  </si>
  <si>
    <t>GBC (median)</t>
  </si>
  <si>
    <t>GBC (mean) RFC (zero)</t>
  </si>
  <si>
    <t>RFC (zero, mean)</t>
  </si>
  <si>
    <t>GBC (zero, mean)</t>
  </si>
  <si>
    <t>GBC (mean, median) RFC (mean)</t>
  </si>
  <si>
    <t>GBC (zero) RFC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</si>
</sst>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0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/>
      <top/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8">
    <xf numFmtId="0" fontId="0" fillId="0" borderId="0" xfId="0">
      <alignment vertical="top" wrapText="1"/>
    </xf>
    <xf numFmtId="2" fontId="0" fillId="2" borderId="7" xfId="0" applyNumberFormat="1" applyFill="1" applyBorder="1">
      <alignment vertical="top" wrapText="1"/>
    </xf>
    <xf numFmtId="2" fontId="0" fillId="2" borderId="8" xfId="0" applyNumberFormat="1" applyFill="1" applyBorder="1">
      <alignment vertical="top" wrapText="1"/>
    </xf>
    <xf numFmtId="2" fontId="0" fillId="2" borderId="10" xfId="0" applyNumberFormat="1" applyFill="1" applyBorder="1">
      <alignment vertical="top" wrapText="1"/>
    </xf>
    <xf numFmtId="2" fontId="0" fillId="2" borderId="11" xfId="0" applyNumberFormat="1" applyFill="1" applyBorder="1">
      <alignment vertical="top" wrapText="1"/>
    </xf>
    <xf numFmtId="165" fontId="0" fillId="2" borderId="8" xfId="0" applyNumberFormat="1" applyFill="1" applyBorder="1">
      <alignment vertical="top" wrapText="1"/>
    </xf>
    <xf numFmtId="0" fontId="3" fillId="0" borderId="0" xfId="0" applyFont="1">
      <alignment vertical="top" wrapText="1"/>
    </xf>
    <xf numFmtId="2" fontId="0" fillId="0" borderId="0" xfId="0" applyNumberFormat="1">
      <alignment vertical="top" wrapText="1"/>
    </xf>
    <xf numFmtId="2" fontId="4" fillId="0" borderId="0" xfId="0" applyNumberFormat="1" applyFont="1">
      <alignment vertical="top" wrapText="1"/>
    </xf>
    <xf numFmtId="0" fontId="4" fillId="0" borderId="0" xfId="0" applyFont="1">
      <alignment vertical="top" wrapText="1"/>
    </xf>
    <xf numFmtId="2" fontId="0" fillId="2" borderId="7" xfId="0" applyNumberFormat="1" applyFill="1" applyBorder="1" applyAlignment="1">
      <alignment horizontal="right" vertical="top" wrapText="1"/>
    </xf>
    <xf numFmtId="2" fontId="0" fillId="2" borderId="10" xfId="0" applyNumberFormat="1" applyFill="1" applyBorder="1" applyAlignment="1">
      <alignment horizontal="right" vertical="top" wrapText="1"/>
    </xf>
    <xf numFmtId="2" fontId="0" fillId="2" borderId="11" xfId="0" applyNumberFormat="1" applyFill="1" applyBorder="1" applyAlignment="1">
      <alignment horizontal="right" vertical="top" wrapText="1"/>
    </xf>
    <xf numFmtId="2" fontId="0" fillId="2" borderId="3" xfId="0" applyNumberFormat="1" applyFill="1" applyBorder="1">
      <alignment vertical="top" wrapText="1"/>
    </xf>
    <xf numFmtId="2" fontId="2" fillId="3" borderId="4" xfId="0" applyNumberFormat="1" applyFont="1" applyFill="1" applyBorder="1">
      <alignment vertical="top" wrapText="1"/>
    </xf>
    <xf numFmtId="2" fontId="0" fillId="2" borderId="5" xfId="0" applyNumberFormat="1" applyFill="1" applyBorder="1">
      <alignment vertical="top" wrapText="1"/>
    </xf>
    <xf numFmtId="2" fontId="3" fillId="2" borderId="8" xfId="0" applyNumberFormat="1" applyFont="1" applyFill="1" applyBorder="1" applyAlignment="1">
      <alignment horizontal="right" vertical="top" wrapText="1"/>
    </xf>
    <xf numFmtId="2" fontId="0" fillId="2" borderId="13" xfId="0" applyNumberFormat="1" applyFill="1" applyBorder="1">
      <alignment vertical="top" wrapText="1"/>
    </xf>
    <xf numFmtId="2" fontId="0" fillId="2" borderId="14" xfId="0" applyNumberFormat="1" applyFill="1" applyBorder="1">
      <alignment vertical="top" wrapText="1"/>
    </xf>
    <xf numFmtId="2" fontId="3" fillId="2" borderId="8" xfId="0" applyNumberFormat="1" applyFont="1" applyFill="1" applyBorder="1">
      <alignment vertical="top" wrapText="1"/>
    </xf>
    <xf numFmtId="2" fontId="0" fillId="2" borderId="17" xfId="0" applyNumberFormat="1" applyFill="1" applyBorder="1">
      <alignment vertical="top" wrapText="1"/>
    </xf>
    <xf numFmtId="2" fontId="3" fillId="2" borderId="11" xfId="0" applyNumberFormat="1" applyFont="1" applyFill="1" applyBorder="1" applyAlignment="1">
      <alignment horizontal="right" vertical="top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165" fontId="2" fillId="3" borderId="4" xfId="0" applyNumberFormat="1" applyFont="1" applyFill="1" applyBorder="1">
      <alignment vertical="top" wrapText="1"/>
    </xf>
    <xf numFmtId="165" fontId="0" fillId="2" borderId="8" xfId="0" applyNumberFormat="1" applyFill="1" applyBorder="1" applyAlignment="1">
      <alignment horizontal="right" vertical="top" wrapText="1"/>
    </xf>
    <xf numFmtId="165" fontId="0" fillId="2" borderId="11" xfId="0" applyNumberFormat="1" applyFill="1" applyBorder="1" applyAlignment="1">
      <alignment horizontal="right" vertical="top" wrapText="1"/>
    </xf>
    <xf numFmtId="165" fontId="0" fillId="2" borderId="13" xfId="0" applyNumberFormat="1" applyFill="1" applyBorder="1">
      <alignment vertical="top" wrapText="1"/>
    </xf>
    <xf numFmtId="165" fontId="0" fillId="2" borderId="11" xfId="0" applyNumberFormat="1" applyFill="1" applyBorder="1">
      <alignment vertical="top" wrapText="1"/>
    </xf>
    <xf numFmtId="165" fontId="0" fillId="0" borderId="0" xfId="0" applyNumberFormat="1">
      <alignment vertical="top" wrapText="1"/>
    </xf>
    <xf numFmtId="1" fontId="2" fillId="3" borderId="4" xfId="0" applyNumberFormat="1" applyFont="1" applyFill="1" applyBorder="1">
      <alignment vertical="top" wrapText="1"/>
    </xf>
    <xf numFmtId="1" fontId="0" fillId="2" borderId="8" xfId="0" applyNumberFormat="1" applyFill="1" applyBorder="1" applyAlignment="1">
      <alignment horizontal="right" vertical="top" wrapText="1"/>
    </xf>
    <xf numFmtId="1" fontId="0" fillId="2" borderId="11" xfId="0" applyNumberFormat="1" applyFill="1" applyBorder="1" applyAlignment="1">
      <alignment horizontal="right" vertical="top" wrapText="1"/>
    </xf>
    <xf numFmtId="1" fontId="0" fillId="2" borderId="13" xfId="0" applyNumberFormat="1" applyFill="1" applyBorder="1">
      <alignment vertical="top" wrapText="1"/>
    </xf>
    <xf numFmtId="1" fontId="0" fillId="2" borderId="8" xfId="0" applyNumberFormat="1" applyFill="1" applyBorder="1">
      <alignment vertical="top" wrapText="1"/>
    </xf>
    <xf numFmtId="1" fontId="0" fillId="2" borderId="11" xfId="0" applyNumberFormat="1" applyFill="1" applyBorder="1">
      <alignment vertical="top" wrapText="1"/>
    </xf>
    <xf numFmtId="1" fontId="0" fillId="0" borderId="0" xfId="0" applyNumberFormat="1">
      <alignment vertical="top" wrapText="1"/>
    </xf>
    <xf numFmtId="1" fontId="2" fillId="4" borderId="6" xfId="0" applyNumberFormat="1" applyFont="1" applyFill="1" applyBorder="1">
      <alignment vertical="top" wrapText="1"/>
    </xf>
    <xf numFmtId="1" fontId="2" fillId="4" borderId="9" xfId="0" applyNumberFormat="1" applyFont="1" applyFill="1" applyBorder="1">
      <alignment vertical="top" wrapText="1"/>
    </xf>
    <xf numFmtId="1" fontId="2" fillId="4" borderId="9" xfId="0" applyNumberFormat="1" applyFont="1" applyFill="1" applyBorder="1" applyAlignment="1">
      <alignment horizontal="right" vertical="top" wrapText="1"/>
    </xf>
    <xf numFmtId="1" fontId="0" fillId="2" borderId="12" xfId="0" applyNumberFormat="1" applyFill="1" applyBorder="1">
      <alignment vertical="top" wrapText="1"/>
    </xf>
    <xf numFmtId="165" fontId="4" fillId="0" borderId="0" xfId="0" applyNumberFormat="1" applyFont="1">
      <alignment vertical="top" wrapText="1"/>
    </xf>
    <xf numFmtId="2" fontId="3" fillId="2" borderId="7" xfId="0" applyNumberFormat="1" applyFont="1" applyFill="1" applyBorder="1" applyAlignment="1">
      <alignment horizontal="right" vertical="top" wrapText="1"/>
    </xf>
    <xf numFmtId="2" fontId="3" fillId="2" borderId="8" xfId="0" applyNumberFormat="1" applyFont="1" applyFill="1" applyBorder="1" applyAlignment="1">
      <alignment horizontal="left" vertical="top" wrapText="1"/>
    </xf>
    <xf numFmtId="2" fontId="0" fillId="2" borderId="1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showGridLines="0" zoomScaleNormal="29" workbookViewId="0">
      <selection activeCell="D5" sqref="D5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0.76</v>
      </c>
      <c r="C3" s="16">
        <v>0.63</v>
      </c>
      <c r="D3" s="16">
        <v>0.69</v>
      </c>
      <c r="E3" s="34">
        <v>192</v>
      </c>
      <c r="F3" s="16" t="s">
        <v>43</v>
      </c>
      <c r="G3" s="28">
        <v>0.68154252283104999</v>
      </c>
      <c r="H3" s="15"/>
      <c r="I3" s="40">
        <v>0</v>
      </c>
      <c r="J3" s="10">
        <v>0.68</v>
      </c>
      <c r="K3" s="16">
        <v>0.63</v>
      </c>
      <c r="L3" s="16">
        <v>0.65</v>
      </c>
      <c r="M3" s="34">
        <v>1076</v>
      </c>
      <c r="N3" s="16" t="s">
        <v>59</v>
      </c>
      <c r="O3" s="28">
        <v>0.631220281836258</v>
      </c>
      <c r="P3" s="15"/>
      <c r="Q3" s="40">
        <v>0</v>
      </c>
      <c r="R3" s="10">
        <v>0.73</v>
      </c>
      <c r="S3" s="16">
        <v>0.54</v>
      </c>
      <c r="T3" s="16">
        <v>0.62</v>
      </c>
      <c r="U3" s="34">
        <v>987</v>
      </c>
      <c r="V3" s="16" t="s">
        <v>77</v>
      </c>
      <c r="W3" s="28">
        <v>0.66704726480669096</v>
      </c>
    </row>
    <row r="4" spans="1:23" ht="20" customHeight="1" x14ac:dyDescent="0.15">
      <c r="A4" s="41">
        <v>1</v>
      </c>
      <c r="B4" s="11">
        <v>0.6</v>
      </c>
      <c r="C4" s="12">
        <v>0.73</v>
      </c>
      <c r="D4" s="12">
        <v>0.66</v>
      </c>
      <c r="E4" s="35">
        <v>146</v>
      </c>
      <c r="F4" s="12" t="s">
        <v>44</v>
      </c>
      <c r="G4" s="29"/>
      <c r="H4" s="15"/>
      <c r="I4" s="41">
        <v>1</v>
      </c>
      <c r="J4" s="11">
        <v>0.57999999999999996</v>
      </c>
      <c r="K4" s="12">
        <v>0.64</v>
      </c>
      <c r="L4" s="12">
        <v>0.6</v>
      </c>
      <c r="M4" s="35">
        <v>860</v>
      </c>
      <c r="N4" s="12" t="s">
        <v>60</v>
      </c>
      <c r="O4" s="29"/>
      <c r="P4" s="15"/>
      <c r="Q4" s="41">
        <v>1</v>
      </c>
      <c r="R4" s="11">
        <v>0.63</v>
      </c>
      <c r="S4" s="12">
        <v>0.8</v>
      </c>
      <c r="T4" s="12">
        <v>0.7</v>
      </c>
      <c r="U4" s="35">
        <v>961</v>
      </c>
      <c r="V4" s="12" t="s">
        <v>78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0.67</v>
      </c>
      <c r="E5" s="35">
        <v>338</v>
      </c>
      <c r="F5" s="12"/>
      <c r="G5" s="29"/>
      <c r="H5" s="15"/>
      <c r="I5" s="42" t="s">
        <v>95</v>
      </c>
      <c r="J5" s="11" t="s">
        <v>96</v>
      </c>
      <c r="K5" s="12" t="s">
        <v>96</v>
      </c>
      <c r="L5" s="21">
        <v>0.63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0.68</v>
      </c>
      <c r="C6" s="12">
        <v>0.68</v>
      </c>
      <c r="D6" s="12">
        <v>0.67</v>
      </c>
      <c r="E6" s="35">
        <v>338</v>
      </c>
      <c r="F6" s="12"/>
      <c r="G6" s="29"/>
      <c r="H6" s="15"/>
      <c r="I6" s="42" t="s">
        <v>97</v>
      </c>
      <c r="J6" s="11">
        <v>0.63</v>
      </c>
      <c r="K6" s="12">
        <v>0.63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0.68</v>
      </c>
      <c r="S6" s="12">
        <v>0.67</v>
      </c>
      <c r="T6" s="12">
        <v>0.66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0.69</v>
      </c>
      <c r="C7" s="12">
        <v>0.67</v>
      </c>
      <c r="D7" s="12">
        <v>0.68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0.63</v>
      </c>
      <c r="L7" s="12">
        <v>0.63</v>
      </c>
      <c r="M7" s="35">
        <v>1936</v>
      </c>
      <c r="N7" s="12"/>
      <c r="O7" s="29"/>
      <c r="P7" s="15"/>
      <c r="Q7" s="42" t="s">
        <v>98</v>
      </c>
      <c r="R7" s="11">
        <v>0.68</v>
      </c>
      <c r="S7" s="12">
        <v>0.67</v>
      </c>
      <c r="T7" s="12">
        <v>0.66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0.66</v>
      </c>
      <c r="C11" s="2">
        <v>0.76</v>
      </c>
      <c r="D11" s="2">
        <v>0.71</v>
      </c>
      <c r="E11" s="37">
        <v>192</v>
      </c>
      <c r="F11" s="19" t="s">
        <v>41</v>
      </c>
      <c r="G11" s="5">
        <v>0.62417950913242004</v>
      </c>
      <c r="H11" s="15"/>
      <c r="I11" s="40">
        <v>0</v>
      </c>
      <c r="J11" s="1">
        <v>0.68</v>
      </c>
      <c r="K11" s="2">
        <v>0.64</v>
      </c>
      <c r="L11" s="2">
        <v>0.66</v>
      </c>
      <c r="M11" s="37">
        <v>1076</v>
      </c>
      <c r="N11" s="19" t="s">
        <v>61</v>
      </c>
      <c r="O11" s="5">
        <v>0.63167848188813003</v>
      </c>
      <c r="P11" s="15"/>
      <c r="Q11" s="40">
        <v>0</v>
      </c>
      <c r="R11" s="1">
        <v>0.68</v>
      </c>
      <c r="S11" s="2">
        <v>0.56999999999999995</v>
      </c>
      <c r="T11" s="2">
        <v>0.62</v>
      </c>
      <c r="U11" s="37">
        <v>987</v>
      </c>
      <c r="V11" s="19" t="s">
        <v>79</v>
      </c>
      <c r="W11" s="5">
        <v>0.64990453417845095</v>
      </c>
    </row>
    <row r="12" spans="1:23" ht="20" customHeight="1" x14ac:dyDescent="0.15">
      <c r="A12" s="41">
        <v>1</v>
      </c>
      <c r="B12" s="3">
        <v>0.61</v>
      </c>
      <c r="C12" s="4">
        <v>0.49</v>
      </c>
      <c r="D12" s="4">
        <v>0.54</v>
      </c>
      <c r="E12" s="38">
        <v>146</v>
      </c>
      <c r="F12" s="4" t="s">
        <v>42</v>
      </c>
      <c r="G12" s="31"/>
      <c r="H12" s="15"/>
      <c r="I12" s="41">
        <v>1</v>
      </c>
      <c r="J12" s="3">
        <v>0.57999999999999996</v>
      </c>
      <c r="K12" s="4">
        <v>0.62</v>
      </c>
      <c r="L12" s="4">
        <v>0.6</v>
      </c>
      <c r="M12" s="38">
        <v>860</v>
      </c>
      <c r="N12" s="4" t="s">
        <v>62</v>
      </c>
      <c r="O12" s="31"/>
      <c r="P12" s="15"/>
      <c r="Q12" s="41">
        <v>1</v>
      </c>
      <c r="R12" s="3">
        <v>0.62</v>
      </c>
      <c r="S12" s="4">
        <v>0.73</v>
      </c>
      <c r="T12" s="4">
        <v>0.67</v>
      </c>
      <c r="U12" s="38">
        <v>961</v>
      </c>
      <c r="V12" s="4" t="s">
        <v>80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0.64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0.63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0.65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0.63</v>
      </c>
      <c r="C14" s="4">
        <v>0.62</v>
      </c>
      <c r="D14" s="4">
        <v>0.62</v>
      </c>
      <c r="E14" s="38">
        <v>338</v>
      </c>
      <c r="F14" s="4"/>
      <c r="G14" s="31"/>
      <c r="H14" s="15"/>
      <c r="I14" s="42" t="s">
        <v>97</v>
      </c>
      <c r="J14" s="3">
        <v>0.63</v>
      </c>
      <c r="K14" s="4">
        <v>0.63</v>
      </c>
      <c r="L14" s="4">
        <v>0.63</v>
      </c>
      <c r="M14" s="38">
        <v>1936</v>
      </c>
      <c r="N14" s="4"/>
      <c r="O14" s="31"/>
      <c r="P14" s="15"/>
      <c r="Q14" s="42" t="s">
        <v>97</v>
      </c>
      <c r="R14" s="3">
        <v>0.65</v>
      </c>
      <c r="S14" s="4">
        <v>0.65</v>
      </c>
      <c r="T14" s="4">
        <v>0.65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0.64</v>
      </c>
      <c r="C15" s="4">
        <v>0.64</v>
      </c>
      <c r="D15" s="4">
        <v>0.64</v>
      </c>
      <c r="E15" s="38">
        <v>338</v>
      </c>
      <c r="F15" s="4"/>
      <c r="G15" s="31"/>
      <c r="H15" s="15"/>
      <c r="I15" s="42" t="s">
        <v>98</v>
      </c>
      <c r="J15" s="3">
        <v>0.64</v>
      </c>
      <c r="K15" s="4">
        <v>0.63</v>
      </c>
      <c r="L15" s="4">
        <v>0.63</v>
      </c>
      <c r="M15" s="38">
        <v>1936</v>
      </c>
      <c r="N15" s="4"/>
      <c r="O15" s="31"/>
      <c r="P15" s="15"/>
      <c r="Q15" s="42" t="s">
        <v>98</v>
      </c>
      <c r="R15" s="3">
        <v>0.65</v>
      </c>
      <c r="S15" s="4">
        <v>0.65</v>
      </c>
      <c r="T15" s="4">
        <v>0.65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0.61</v>
      </c>
      <c r="C19" s="2">
        <v>0.59</v>
      </c>
      <c r="D19" s="2">
        <v>0.6</v>
      </c>
      <c r="E19" s="37">
        <v>192</v>
      </c>
      <c r="F19" s="2" t="s">
        <v>45</v>
      </c>
      <c r="G19" s="5">
        <v>0.546875</v>
      </c>
      <c r="H19" s="15"/>
      <c r="I19" s="40">
        <v>0</v>
      </c>
      <c r="J19" s="1">
        <v>0.65</v>
      </c>
      <c r="K19" s="2">
        <v>0.64</v>
      </c>
      <c r="L19" s="2">
        <v>0.64</v>
      </c>
      <c r="M19" s="37">
        <v>1076</v>
      </c>
      <c r="N19" s="2" t="s">
        <v>63</v>
      </c>
      <c r="O19" s="5">
        <v>0.60389037779890997</v>
      </c>
      <c r="P19" s="15"/>
      <c r="Q19" s="40">
        <v>0</v>
      </c>
      <c r="R19" s="1">
        <v>0.65</v>
      </c>
      <c r="S19" s="2">
        <v>0.5</v>
      </c>
      <c r="T19" s="2">
        <v>0.56999999999999995</v>
      </c>
      <c r="U19" s="37">
        <v>987</v>
      </c>
      <c r="V19" s="2" t="s">
        <v>81</v>
      </c>
      <c r="W19" s="5">
        <v>0.61291007868154901</v>
      </c>
    </row>
    <row r="20" spans="1:23" ht="20" customHeight="1" x14ac:dyDescent="0.15">
      <c r="A20" s="41">
        <v>1</v>
      </c>
      <c r="B20" s="3">
        <v>0.48</v>
      </c>
      <c r="C20" s="4">
        <v>0.5</v>
      </c>
      <c r="D20" s="4">
        <v>0.49</v>
      </c>
      <c r="E20" s="38">
        <v>146</v>
      </c>
      <c r="F20" s="4" t="s">
        <v>46</v>
      </c>
      <c r="G20" s="31"/>
      <c r="H20" s="15"/>
      <c r="I20" s="41">
        <v>1</v>
      </c>
      <c r="J20" s="3">
        <v>0.56000000000000005</v>
      </c>
      <c r="K20" s="4">
        <v>0.56999999999999995</v>
      </c>
      <c r="L20" s="4">
        <v>0.56000000000000005</v>
      </c>
      <c r="M20" s="38">
        <v>860</v>
      </c>
      <c r="N20" s="4" t="s">
        <v>64</v>
      </c>
      <c r="O20" s="31"/>
      <c r="P20" s="15"/>
      <c r="Q20" s="41">
        <v>1</v>
      </c>
      <c r="R20" s="3">
        <v>0.59</v>
      </c>
      <c r="S20" s="4">
        <v>0.73</v>
      </c>
      <c r="T20" s="4">
        <v>0.65</v>
      </c>
      <c r="U20" s="38">
        <v>961</v>
      </c>
      <c r="V20" s="4" t="s">
        <v>82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0.55000000000000004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0.61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0.61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0.55000000000000004</v>
      </c>
      <c r="C22" s="4">
        <v>0.55000000000000004</v>
      </c>
      <c r="D22" s="4">
        <v>0.55000000000000004</v>
      </c>
      <c r="E22" s="38">
        <v>338</v>
      </c>
      <c r="F22" s="4"/>
      <c r="G22" s="31"/>
      <c r="H22" s="15"/>
      <c r="I22" s="42" t="s">
        <v>97</v>
      </c>
      <c r="J22" s="3">
        <v>0.6</v>
      </c>
      <c r="K22" s="4">
        <v>0.6</v>
      </c>
      <c r="L22" s="4">
        <v>0.6</v>
      </c>
      <c r="M22" s="38">
        <v>1936</v>
      </c>
      <c r="N22" s="4"/>
      <c r="O22" s="31"/>
      <c r="P22" s="15"/>
      <c r="Q22" s="42" t="s">
        <v>97</v>
      </c>
      <c r="R22" s="3">
        <v>0.62</v>
      </c>
      <c r="S22" s="4">
        <v>0.61</v>
      </c>
      <c r="T22" s="4">
        <v>0.61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0.56000000000000005</v>
      </c>
      <c r="C23" s="4">
        <v>0.55000000000000004</v>
      </c>
      <c r="D23" s="4">
        <v>0.55000000000000004</v>
      </c>
      <c r="E23" s="38">
        <v>338</v>
      </c>
      <c r="F23" s="4"/>
      <c r="G23" s="31"/>
      <c r="H23" s="15"/>
      <c r="I23" s="42" t="s">
        <v>98</v>
      </c>
      <c r="J23" s="3">
        <v>0.61</v>
      </c>
      <c r="K23" s="4">
        <v>0.61</v>
      </c>
      <c r="L23" s="4">
        <v>0.61</v>
      </c>
      <c r="M23" s="38">
        <v>1936</v>
      </c>
      <c r="N23" s="4"/>
      <c r="O23" s="31"/>
      <c r="P23" s="15"/>
      <c r="Q23" s="42" t="s">
        <v>98</v>
      </c>
      <c r="R23" s="3">
        <v>0.62</v>
      </c>
      <c r="S23" s="4">
        <v>0.61</v>
      </c>
      <c r="T23" s="4">
        <v>0.61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0.6</v>
      </c>
      <c r="C27" s="2">
        <v>0.69</v>
      </c>
      <c r="D27" s="2">
        <v>0.64</v>
      </c>
      <c r="E27" s="37">
        <v>162</v>
      </c>
      <c r="F27" s="2" t="s">
        <v>47</v>
      </c>
      <c r="G27" s="5">
        <v>0.63236531986531896</v>
      </c>
      <c r="H27" s="15"/>
      <c r="I27" s="40">
        <v>0</v>
      </c>
      <c r="J27" s="1">
        <v>0.62</v>
      </c>
      <c r="K27" s="2">
        <v>0.57999999999999996</v>
      </c>
      <c r="L27" s="2">
        <v>0.6</v>
      </c>
      <c r="M27" s="37">
        <v>934</v>
      </c>
      <c r="N27" s="2" t="s">
        <v>65</v>
      </c>
      <c r="O27" s="5">
        <v>0.62394589835318603</v>
      </c>
      <c r="P27" s="15"/>
      <c r="Q27" s="40">
        <v>0</v>
      </c>
      <c r="R27" s="1">
        <v>0.69</v>
      </c>
      <c r="S27" s="2">
        <v>0.5</v>
      </c>
      <c r="T27" s="2">
        <v>0.57999999999999996</v>
      </c>
      <c r="U27" s="37">
        <v>808</v>
      </c>
      <c r="V27" s="2" t="s">
        <v>83</v>
      </c>
      <c r="W27" s="5">
        <v>0.67025360430779901</v>
      </c>
    </row>
    <row r="28" spans="1:23" ht="20" customHeight="1" x14ac:dyDescent="0.15">
      <c r="A28" s="41">
        <v>1</v>
      </c>
      <c r="B28" s="3">
        <v>0.67</v>
      </c>
      <c r="C28" s="4">
        <v>0.57999999999999996</v>
      </c>
      <c r="D28" s="4">
        <v>0.62</v>
      </c>
      <c r="E28" s="38">
        <v>176</v>
      </c>
      <c r="F28" s="4" t="s">
        <v>48</v>
      </c>
      <c r="G28" s="31"/>
      <c r="H28" s="15"/>
      <c r="I28" s="41">
        <v>1</v>
      </c>
      <c r="J28" s="3">
        <v>0.63</v>
      </c>
      <c r="K28" s="4">
        <v>0.67</v>
      </c>
      <c r="L28" s="4">
        <v>0.65</v>
      </c>
      <c r="M28" s="38">
        <v>1002</v>
      </c>
      <c r="N28" s="4" t="s">
        <v>66</v>
      </c>
      <c r="O28" s="31"/>
      <c r="P28" s="15"/>
      <c r="Q28" s="41">
        <v>1</v>
      </c>
      <c r="R28" s="3">
        <v>0.7</v>
      </c>
      <c r="S28" s="4">
        <v>0.84</v>
      </c>
      <c r="T28" s="4">
        <v>0.77</v>
      </c>
      <c r="U28" s="38">
        <v>1140</v>
      </c>
      <c r="V28" s="4" t="s">
        <v>84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0.63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0.63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0.63</v>
      </c>
      <c r="C30" s="4">
        <v>0.63</v>
      </c>
      <c r="D30" s="4">
        <v>0.63</v>
      </c>
      <c r="E30" s="38">
        <v>338</v>
      </c>
      <c r="F30" s="4"/>
      <c r="G30" s="31"/>
      <c r="H30" s="15"/>
      <c r="I30" s="42" t="s">
        <v>97</v>
      </c>
      <c r="J30" s="3">
        <v>0.62</v>
      </c>
      <c r="K30" s="4">
        <v>0.62</v>
      </c>
      <c r="L30" s="4">
        <v>0.62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0.67</v>
      </c>
      <c r="T30" s="4">
        <v>0.67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0.63</v>
      </c>
      <c r="C31" s="4">
        <v>0.63</v>
      </c>
      <c r="D31" s="4">
        <v>0.63</v>
      </c>
      <c r="E31" s="38">
        <v>338</v>
      </c>
      <c r="F31" s="4"/>
      <c r="G31" s="31"/>
      <c r="H31" s="15"/>
      <c r="I31" s="42" t="s">
        <v>98</v>
      </c>
      <c r="J31" s="3">
        <v>0.63</v>
      </c>
      <c r="K31" s="4">
        <v>0.63</v>
      </c>
      <c r="L31" s="4">
        <v>0.62</v>
      </c>
      <c r="M31" s="38">
        <v>1936</v>
      </c>
      <c r="N31" s="4"/>
      <c r="O31" s="31"/>
      <c r="P31" s="15"/>
      <c r="Q31" s="42" t="s">
        <v>98</v>
      </c>
      <c r="R31" s="3">
        <v>0.7</v>
      </c>
      <c r="S31" s="4">
        <v>0.7</v>
      </c>
      <c r="T31" s="4">
        <v>0.69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0.55000000000000004</v>
      </c>
      <c r="C35" s="2">
        <v>0.72</v>
      </c>
      <c r="D35" s="2">
        <v>0.62</v>
      </c>
      <c r="E35" s="37">
        <v>162</v>
      </c>
      <c r="F35" s="2" t="s">
        <v>49</v>
      </c>
      <c r="G35" s="5">
        <v>0.59097923681257003</v>
      </c>
      <c r="H35" s="15"/>
      <c r="I35" s="40">
        <v>0</v>
      </c>
      <c r="J35" s="1">
        <v>0.6</v>
      </c>
      <c r="K35" s="2">
        <v>0.63</v>
      </c>
      <c r="L35" s="2">
        <v>0.62</v>
      </c>
      <c r="M35" s="37">
        <v>934</v>
      </c>
      <c r="N35" s="2" t="s">
        <v>67</v>
      </c>
      <c r="O35" s="5">
        <v>0.62023704197600504</v>
      </c>
      <c r="P35" s="15"/>
      <c r="Q35" s="40">
        <v>0</v>
      </c>
      <c r="R35" s="1">
        <v>0.63</v>
      </c>
      <c r="S35" s="2">
        <v>0.57999999999999996</v>
      </c>
      <c r="T35" s="2">
        <v>0.6</v>
      </c>
      <c r="U35" s="37">
        <v>808</v>
      </c>
      <c r="V35" s="2" t="s">
        <v>85</v>
      </c>
      <c r="W35" s="5">
        <v>0.66767413583463597</v>
      </c>
    </row>
    <row r="36" spans="1:23" ht="20" customHeight="1" x14ac:dyDescent="0.15">
      <c r="A36" s="41">
        <v>1</v>
      </c>
      <c r="B36" s="3">
        <v>0.64</v>
      </c>
      <c r="C36" s="4">
        <v>0.47</v>
      </c>
      <c r="D36" s="4">
        <v>0.54</v>
      </c>
      <c r="E36" s="38">
        <v>176</v>
      </c>
      <c r="F36" s="4" t="s">
        <v>50</v>
      </c>
      <c r="G36" s="31"/>
      <c r="H36" s="15"/>
      <c r="I36" s="41">
        <v>1</v>
      </c>
      <c r="J36" s="3">
        <v>0.64</v>
      </c>
      <c r="K36" s="4">
        <v>0.61</v>
      </c>
      <c r="L36" s="4">
        <v>0.62</v>
      </c>
      <c r="M36" s="38">
        <v>1002</v>
      </c>
      <c r="N36" s="4" t="s">
        <v>68</v>
      </c>
      <c r="O36" s="31"/>
      <c r="P36" s="15"/>
      <c r="Q36" s="41">
        <v>1</v>
      </c>
      <c r="R36" s="3">
        <v>0.72</v>
      </c>
      <c r="S36" s="4">
        <v>0.76</v>
      </c>
      <c r="T36" s="4">
        <v>0.74</v>
      </c>
      <c r="U36" s="38">
        <v>1140</v>
      </c>
      <c r="V36" s="4" t="s">
        <v>86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0.59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0.62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0.68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</v>
      </c>
      <c r="C38" s="4">
        <v>0.59</v>
      </c>
      <c r="D38" s="4">
        <v>0.57999999999999996</v>
      </c>
      <c r="E38" s="38">
        <v>338</v>
      </c>
      <c r="F38" s="4"/>
      <c r="G38" s="31"/>
      <c r="H38" s="15"/>
      <c r="I38" s="42" t="s">
        <v>97</v>
      </c>
      <c r="J38" s="3">
        <v>0.62</v>
      </c>
      <c r="K38" s="4">
        <v>0.62</v>
      </c>
      <c r="L38" s="4">
        <v>0.62</v>
      </c>
      <c r="M38" s="38">
        <v>1936</v>
      </c>
      <c r="N38" s="4"/>
      <c r="O38" s="31"/>
      <c r="P38" s="15"/>
      <c r="Q38" s="42" t="s">
        <v>97</v>
      </c>
      <c r="R38" s="3">
        <v>0.67</v>
      </c>
      <c r="S38" s="4">
        <v>0.67</v>
      </c>
      <c r="T38" s="4">
        <v>0.67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</v>
      </c>
      <c r="C39" s="4">
        <v>0.59</v>
      </c>
      <c r="D39" s="4">
        <v>0.57999999999999996</v>
      </c>
      <c r="E39" s="38">
        <v>338</v>
      </c>
      <c r="F39" s="4"/>
      <c r="G39" s="31"/>
      <c r="H39" s="15"/>
      <c r="I39" s="42" t="s">
        <v>98</v>
      </c>
      <c r="J39" s="3">
        <v>0.62</v>
      </c>
      <c r="K39" s="4">
        <v>0.62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0.68</v>
      </c>
      <c r="S39" s="4">
        <v>0.68</v>
      </c>
      <c r="T39" s="4">
        <v>0.68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0.5</v>
      </c>
      <c r="C43" s="2">
        <v>0.67</v>
      </c>
      <c r="D43" s="2">
        <v>0.56999999999999995</v>
      </c>
      <c r="E43" s="37">
        <v>162</v>
      </c>
      <c r="F43" s="2" t="s">
        <v>51</v>
      </c>
      <c r="G43" s="5">
        <v>0.52935606060606</v>
      </c>
      <c r="H43" s="15"/>
      <c r="I43" s="40">
        <v>0</v>
      </c>
      <c r="J43" s="1">
        <v>0.6</v>
      </c>
      <c r="K43" s="2">
        <v>0.5</v>
      </c>
      <c r="L43" s="2">
        <v>0.55000000000000004</v>
      </c>
      <c r="M43" s="37">
        <v>934</v>
      </c>
      <c r="N43" s="2" t="s">
        <v>69</v>
      </c>
      <c r="O43" s="5">
        <v>0.59295969089657896</v>
      </c>
      <c r="P43" s="15"/>
      <c r="Q43" s="40">
        <v>0</v>
      </c>
      <c r="R43" s="1">
        <v>0.66</v>
      </c>
      <c r="S43" s="2">
        <v>0.14000000000000001</v>
      </c>
      <c r="T43" s="2">
        <v>0.23</v>
      </c>
      <c r="U43" s="37">
        <v>808</v>
      </c>
      <c r="V43" s="2" t="s">
        <v>87</v>
      </c>
      <c r="W43" s="5">
        <v>0.54528617335417695</v>
      </c>
    </row>
    <row r="44" spans="1:23" ht="20" customHeight="1" x14ac:dyDescent="0.15">
      <c r="A44" s="41">
        <v>1</v>
      </c>
      <c r="B44" s="3">
        <v>0.56000000000000005</v>
      </c>
      <c r="C44" s="4">
        <v>0.39</v>
      </c>
      <c r="D44" s="4">
        <v>0.46</v>
      </c>
      <c r="E44" s="38">
        <v>176</v>
      </c>
      <c r="F44" s="4" t="s">
        <v>52</v>
      </c>
      <c r="G44" s="31"/>
      <c r="H44" s="15"/>
      <c r="I44" s="41">
        <v>1</v>
      </c>
      <c r="J44" s="3">
        <v>0.6</v>
      </c>
      <c r="K44" s="4">
        <v>0.68</v>
      </c>
      <c r="L44" s="4">
        <v>0.64</v>
      </c>
      <c r="M44" s="38">
        <v>1002</v>
      </c>
      <c r="N44" s="4" t="s">
        <v>70</v>
      </c>
      <c r="O44" s="31"/>
      <c r="P44" s="15"/>
      <c r="Q44" s="41">
        <v>1</v>
      </c>
      <c r="R44" s="3">
        <v>0.61</v>
      </c>
      <c r="S44" s="4">
        <v>0.95</v>
      </c>
      <c r="T44" s="4">
        <v>0.74</v>
      </c>
      <c r="U44" s="38">
        <v>1140</v>
      </c>
      <c r="V44" s="4" t="s">
        <v>88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0.52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0.6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0.61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0.53</v>
      </c>
      <c r="C46" s="4">
        <v>0.53</v>
      </c>
      <c r="D46" s="4">
        <v>0.52</v>
      </c>
      <c r="E46" s="38">
        <v>338</v>
      </c>
      <c r="F46" s="4"/>
      <c r="G46" s="31"/>
      <c r="H46" s="15"/>
      <c r="I46" s="42" t="s">
        <v>97</v>
      </c>
      <c r="J46" s="3">
        <v>0.6</v>
      </c>
      <c r="K46" s="4">
        <v>0.59</v>
      </c>
      <c r="L46" s="4">
        <v>0.59</v>
      </c>
      <c r="M46" s="38">
        <v>1936</v>
      </c>
      <c r="N46" s="4"/>
      <c r="O46" s="31"/>
      <c r="P46" s="15"/>
      <c r="Q46" s="42" t="s">
        <v>97</v>
      </c>
      <c r="R46" s="3">
        <v>0.64</v>
      </c>
      <c r="S46" s="4">
        <v>0.55000000000000004</v>
      </c>
      <c r="T46" s="4">
        <v>0.49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0.53</v>
      </c>
      <c r="C47" s="4">
        <v>0.52</v>
      </c>
      <c r="D47" s="4">
        <v>0.51</v>
      </c>
      <c r="E47" s="38">
        <v>338</v>
      </c>
      <c r="F47" s="4"/>
      <c r="G47" s="31"/>
      <c r="H47" s="15"/>
      <c r="I47" s="42" t="s">
        <v>98</v>
      </c>
      <c r="J47" s="3">
        <v>0.6</v>
      </c>
      <c r="K47" s="4">
        <v>0.6</v>
      </c>
      <c r="L47" s="4">
        <v>0.59</v>
      </c>
      <c r="M47" s="38">
        <v>1936</v>
      </c>
      <c r="N47" s="4"/>
      <c r="O47" s="31"/>
      <c r="P47" s="15"/>
      <c r="Q47" s="42" t="s">
        <v>98</v>
      </c>
      <c r="R47" s="3">
        <v>0.63</v>
      </c>
      <c r="S47" s="4">
        <v>0.61</v>
      </c>
      <c r="T47" s="4">
        <v>0.53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0.63</v>
      </c>
      <c r="C51" s="2">
        <v>0.33</v>
      </c>
      <c r="D51" s="2">
        <v>0.43</v>
      </c>
      <c r="E51" s="37">
        <v>163</v>
      </c>
      <c r="F51" s="2" t="s">
        <v>53</v>
      </c>
      <c r="G51" s="5">
        <v>0.57421560035056896</v>
      </c>
      <c r="H51" s="15"/>
      <c r="I51" s="40">
        <v>0</v>
      </c>
      <c r="J51" s="1">
        <v>0.66</v>
      </c>
      <c r="K51" s="2">
        <v>0.33</v>
      </c>
      <c r="L51" s="2">
        <v>0.44</v>
      </c>
      <c r="M51" s="37">
        <v>915</v>
      </c>
      <c r="N51" s="2" t="s">
        <v>71</v>
      </c>
      <c r="O51" s="5">
        <v>0.58949759958895898</v>
      </c>
      <c r="P51" s="15"/>
      <c r="Q51" s="40">
        <v>0</v>
      </c>
      <c r="R51" s="1">
        <v>0.65</v>
      </c>
      <c r="S51" s="2">
        <v>0.37</v>
      </c>
      <c r="T51" s="2">
        <v>0.47</v>
      </c>
      <c r="U51" s="37">
        <v>881</v>
      </c>
      <c r="V51" s="2" t="s">
        <v>89</v>
      </c>
      <c r="W51" s="5">
        <v>0.60027265174298094</v>
      </c>
    </row>
    <row r="52" spans="1:23" ht="20" customHeight="1" x14ac:dyDescent="0.15">
      <c r="A52" s="41">
        <v>1</v>
      </c>
      <c r="B52" s="3">
        <v>0.56999999999999995</v>
      </c>
      <c r="C52" s="4">
        <v>0.82</v>
      </c>
      <c r="D52" s="4">
        <v>0.67</v>
      </c>
      <c r="E52" s="38">
        <v>175</v>
      </c>
      <c r="F52" s="4" t="s">
        <v>54</v>
      </c>
      <c r="G52" s="31"/>
      <c r="H52" s="15"/>
      <c r="I52" s="41">
        <v>1</v>
      </c>
      <c r="J52" s="3">
        <v>0.59</v>
      </c>
      <c r="K52" s="4">
        <v>0.85</v>
      </c>
      <c r="L52" s="4">
        <v>0.69</v>
      </c>
      <c r="M52" s="38">
        <v>1021</v>
      </c>
      <c r="N52" s="4" t="s">
        <v>72</v>
      </c>
      <c r="O52" s="31"/>
      <c r="P52" s="15"/>
      <c r="Q52" s="41">
        <v>1</v>
      </c>
      <c r="R52" s="3">
        <v>0.61</v>
      </c>
      <c r="S52" s="4">
        <v>0.84</v>
      </c>
      <c r="T52" s="4">
        <v>0.71</v>
      </c>
      <c r="U52" s="38">
        <v>1067</v>
      </c>
      <c r="V52" s="4" t="s">
        <v>90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0.57999999999999996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0.6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0.62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0.6</v>
      </c>
      <c r="C54" s="4">
        <v>0.56999999999999995</v>
      </c>
      <c r="D54" s="4">
        <v>0.55000000000000004</v>
      </c>
      <c r="E54" s="38">
        <v>338</v>
      </c>
      <c r="F54" s="4"/>
      <c r="G54" s="31"/>
      <c r="H54" s="15"/>
      <c r="I54" s="42" t="s">
        <v>97</v>
      </c>
      <c r="J54" s="3">
        <v>0.62</v>
      </c>
      <c r="K54" s="4">
        <v>0.59</v>
      </c>
      <c r="L54" s="4">
        <v>0.56999999999999995</v>
      </c>
      <c r="M54" s="38">
        <v>1936</v>
      </c>
      <c r="N54" s="4"/>
      <c r="O54" s="31"/>
      <c r="P54" s="15"/>
      <c r="Q54" s="42" t="s">
        <v>97</v>
      </c>
      <c r="R54" s="3">
        <v>0.63</v>
      </c>
      <c r="S54" s="4">
        <v>0.6</v>
      </c>
      <c r="T54" s="4">
        <v>0.59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0.6</v>
      </c>
      <c r="C55" s="4">
        <v>0.57999999999999996</v>
      </c>
      <c r="D55" s="4">
        <v>0.56000000000000005</v>
      </c>
      <c r="E55" s="38">
        <v>338</v>
      </c>
      <c r="F55" s="4"/>
      <c r="G55" s="31"/>
      <c r="H55" s="15"/>
      <c r="I55" s="42" t="s">
        <v>98</v>
      </c>
      <c r="J55" s="3">
        <v>0.62</v>
      </c>
      <c r="K55" s="4">
        <v>0.6</v>
      </c>
      <c r="L55" s="4">
        <v>0.56999999999999995</v>
      </c>
      <c r="M55" s="38">
        <v>1936</v>
      </c>
      <c r="N55" s="4"/>
      <c r="O55" s="31"/>
      <c r="P55" s="15"/>
      <c r="Q55" s="42" t="s">
        <v>98</v>
      </c>
      <c r="R55" s="3">
        <v>0.63</v>
      </c>
      <c r="S55" s="4">
        <v>0.62</v>
      </c>
      <c r="T55" s="4">
        <v>0.6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0.57999999999999996</v>
      </c>
      <c r="C59" s="2">
        <v>0.48</v>
      </c>
      <c r="D59" s="2">
        <v>0.52</v>
      </c>
      <c r="E59" s="37">
        <v>163</v>
      </c>
      <c r="F59" s="2" t="s">
        <v>55</v>
      </c>
      <c r="G59" s="5">
        <v>0.57640666082383796</v>
      </c>
      <c r="H59" s="15"/>
      <c r="I59" s="40">
        <v>0</v>
      </c>
      <c r="J59" s="1">
        <v>0.6</v>
      </c>
      <c r="K59" s="2">
        <v>0.44</v>
      </c>
      <c r="L59" s="2">
        <v>0.51</v>
      </c>
      <c r="M59" s="37">
        <v>915</v>
      </c>
      <c r="N59" s="2" t="s">
        <v>73</v>
      </c>
      <c r="O59" s="5">
        <v>0.58837152047440899</v>
      </c>
      <c r="P59" s="15"/>
      <c r="Q59" s="40">
        <v>0</v>
      </c>
      <c r="R59" s="1">
        <v>0.62</v>
      </c>
      <c r="S59" s="2">
        <v>0.38</v>
      </c>
      <c r="T59" s="2">
        <v>0.47</v>
      </c>
      <c r="U59" s="37">
        <v>881</v>
      </c>
      <c r="V59" s="2" t="s">
        <v>91</v>
      </c>
      <c r="W59" s="5">
        <v>0.59319679115599799</v>
      </c>
    </row>
    <row r="60" spans="1:23" ht="20" customHeight="1" x14ac:dyDescent="0.15">
      <c r="A60" s="41">
        <v>1</v>
      </c>
      <c r="B60" s="3">
        <v>0.57999999999999996</v>
      </c>
      <c r="C60" s="4">
        <v>0.67</v>
      </c>
      <c r="D60" s="4">
        <v>0.62</v>
      </c>
      <c r="E60" s="38">
        <v>175</v>
      </c>
      <c r="F60" s="4" t="s">
        <v>56</v>
      </c>
      <c r="G60" s="31"/>
      <c r="H60" s="15"/>
      <c r="I60" s="41">
        <v>1</v>
      </c>
      <c r="J60" s="3">
        <v>0.59</v>
      </c>
      <c r="K60" s="4">
        <v>0.74</v>
      </c>
      <c r="L60" s="4">
        <v>0.66</v>
      </c>
      <c r="M60" s="38">
        <v>1021</v>
      </c>
      <c r="N60" s="4" t="s">
        <v>74</v>
      </c>
      <c r="O60" s="31"/>
      <c r="P60" s="15"/>
      <c r="Q60" s="41">
        <v>1</v>
      </c>
      <c r="R60" s="3">
        <v>0.61</v>
      </c>
      <c r="S60" s="4">
        <v>0.81</v>
      </c>
      <c r="T60" s="4">
        <v>0.7</v>
      </c>
      <c r="U60" s="38">
        <v>1067</v>
      </c>
      <c r="V60" s="4" t="s">
        <v>92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0.57999999999999996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0.6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0.61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0.57999999999999996</v>
      </c>
      <c r="C62" s="4">
        <v>0.57999999999999996</v>
      </c>
      <c r="D62" s="4">
        <v>0.56999999999999995</v>
      </c>
      <c r="E62" s="38">
        <v>338</v>
      </c>
      <c r="F62" s="4"/>
      <c r="G62" s="31"/>
      <c r="H62" s="15"/>
      <c r="I62" s="42" t="s">
        <v>97</v>
      </c>
      <c r="J62" s="3">
        <v>0.6</v>
      </c>
      <c r="K62" s="4">
        <v>0.59</v>
      </c>
      <c r="L62" s="4">
        <v>0.57999999999999996</v>
      </c>
      <c r="M62" s="38">
        <v>1936</v>
      </c>
      <c r="N62" s="4"/>
      <c r="O62" s="31"/>
      <c r="P62" s="15"/>
      <c r="Q62" s="42" t="s">
        <v>97</v>
      </c>
      <c r="R62" s="3">
        <v>0.62</v>
      </c>
      <c r="S62" s="4">
        <v>0.59</v>
      </c>
      <c r="T62" s="4">
        <v>0.57999999999999996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0.57999999999999996</v>
      </c>
      <c r="C63" s="4">
        <v>0.57999999999999996</v>
      </c>
      <c r="D63" s="4">
        <v>0.57999999999999996</v>
      </c>
      <c r="E63" s="38">
        <v>338</v>
      </c>
      <c r="F63" s="4"/>
      <c r="G63" s="31"/>
      <c r="H63" s="15"/>
      <c r="I63" s="42" t="s">
        <v>98</v>
      </c>
      <c r="J63" s="3">
        <v>0.6</v>
      </c>
      <c r="K63" s="4">
        <v>0.6</v>
      </c>
      <c r="L63" s="4">
        <v>0.59</v>
      </c>
      <c r="M63" s="38">
        <v>1936</v>
      </c>
      <c r="N63" s="4"/>
      <c r="O63" s="31"/>
      <c r="P63" s="15"/>
      <c r="Q63" s="42" t="s">
        <v>98</v>
      </c>
      <c r="R63" s="3">
        <v>0.62</v>
      </c>
      <c r="S63" s="4">
        <v>0.61</v>
      </c>
      <c r="T63" s="4">
        <v>0.59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0.52</v>
      </c>
      <c r="C67" s="2">
        <v>0.7</v>
      </c>
      <c r="D67" s="2">
        <v>0.59</v>
      </c>
      <c r="E67" s="37">
        <v>163</v>
      </c>
      <c r="F67" s="2" t="s">
        <v>57</v>
      </c>
      <c r="G67" s="5">
        <v>0.54053141875306798</v>
      </c>
      <c r="H67" s="15"/>
      <c r="I67" s="40">
        <v>0</v>
      </c>
      <c r="J67" s="1">
        <v>0.52</v>
      </c>
      <c r="K67" s="2">
        <v>0.77</v>
      </c>
      <c r="L67" s="2">
        <v>0.62</v>
      </c>
      <c r="M67" s="37">
        <v>915</v>
      </c>
      <c r="N67" s="2" t="s">
        <v>75</v>
      </c>
      <c r="O67" s="5">
        <v>0.56888938841701298</v>
      </c>
      <c r="P67" s="15"/>
      <c r="Q67" s="40">
        <v>0</v>
      </c>
      <c r="R67" s="1">
        <v>0.5</v>
      </c>
      <c r="S67" s="2">
        <v>0.82</v>
      </c>
      <c r="T67" s="2">
        <v>0.62</v>
      </c>
      <c r="U67" s="37">
        <v>881</v>
      </c>
      <c r="V67" s="2" t="s">
        <v>93</v>
      </c>
      <c r="W67" s="5">
        <v>0.576756305935893</v>
      </c>
    </row>
    <row r="68" spans="1:23" ht="20" customHeight="1" x14ac:dyDescent="0.15">
      <c r="A68" s="41">
        <v>1</v>
      </c>
      <c r="B68" s="3">
        <v>0.57999999999999996</v>
      </c>
      <c r="C68" s="4">
        <v>0.39</v>
      </c>
      <c r="D68" s="4">
        <v>0.47</v>
      </c>
      <c r="E68" s="38">
        <v>175</v>
      </c>
      <c r="F68" s="4" t="s">
        <v>58</v>
      </c>
      <c r="G68" s="31"/>
      <c r="H68" s="15"/>
      <c r="I68" s="41">
        <v>1</v>
      </c>
      <c r="J68" s="3">
        <v>0.64</v>
      </c>
      <c r="K68" s="4">
        <v>0.37</v>
      </c>
      <c r="L68" s="4">
        <v>0.47</v>
      </c>
      <c r="M68" s="38">
        <v>1021</v>
      </c>
      <c r="N68" s="4" t="s">
        <v>76</v>
      </c>
      <c r="O68" s="31"/>
      <c r="P68" s="15"/>
      <c r="Q68" s="41">
        <v>1</v>
      </c>
      <c r="R68" s="3">
        <v>0.69</v>
      </c>
      <c r="S68" s="4">
        <v>0.34</v>
      </c>
      <c r="T68" s="4">
        <v>0.45</v>
      </c>
      <c r="U68" s="38">
        <v>1067</v>
      </c>
      <c r="V68" s="4" t="s">
        <v>94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0.54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0.56000000000000005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0.55000000000000004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0.55000000000000004</v>
      </c>
      <c r="C70" s="4">
        <v>0.54</v>
      </c>
      <c r="D70" s="4">
        <v>0.53</v>
      </c>
      <c r="E70" s="38">
        <v>338</v>
      </c>
      <c r="F70" s="4"/>
      <c r="G70" s="31"/>
      <c r="H70" s="15"/>
      <c r="I70" s="42" t="s">
        <v>97</v>
      </c>
      <c r="J70" s="3">
        <v>0.57999999999999996</v>
      </c>
      <c r="K70" s="4">
        <v>0.56999999999999995</v>
      </c>
      <c r="L70" s="4">
        <v>0.54</v>
      </c>
      <c r="M70" s="38">
        <v>1936</v>
      </c>
      <c r="N70" s="4"/>
      <c r="O70" s="31"/>
      <c r="P70" s="15"/>
      <c r="Q70" s="42" t="s">
        <v>97</v>
      </c>
      <c r="R70" s="3">
        <v>0.6</v>
      </c>
      <c r="S70" s="4">
        <v>0.57999999999999996</v>
      </c>
      <c r="T70" s="4">
        <v>0.54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0.55000000000000004</v>
      </c>
      <c r="C71" s="4">
        <v>0.54</v>
      </c>
      <c r="D71" s="4">
        <v>0.53</v>
      </c>
      <c r="E71" s="38">
        <v>338</v>
      </c>
      <c r="F71" s="4"/>
      <c r="G71" s="31"/>
      <c r="H71" s="20"/>
      <c r="I71" s="42" t="s">
        <v>98</v>
      </c>
      <c r="J71" s="3">
        <v>0.57999999999999996</v>
      </c>
      <c r="K71" s="4">
        <v>0.56000000000000005</v>
      </c>
      <c r="L71" s="4">
        <v>0.54</v>
      </c>
      <c r="M71" s="38">
        <v>1936</v>
      </c>
      <c r="N71" s="4"/>
      <c r="O71" s="31"/>
      <c r="P71" s="20"/>
      <c r="Q71" s="42" t="s">
        <v>98</v>
      </c>
      <c r="R71" s="3">
        <v>0.61</v>
      </c>
      <c r="S71" s="4">
        <v>0.55000000000000004</v>
      </c>
      <c r="T71" s="4">
        <v>0.53</v>
      </c>
      <c r="U71" s="38">
        <v>1948</v>
      </c>
      <c r="V71" s="4"/>
      <c r="W71" s="31"/>
    </row>
  </sheetData>
  <mergeCells count="27">
    <mergeCell ref="I65:O65"/>
    <mergeCell ref="Q65:W65"/>
    <mergeCell ref="A25:G25"/>
    <mergeCell ref="I49:O49"/>
    <mergeCell ref="A49:G49"/>
    <mergeCell ref="Q49:W49"/>
    <mergeCell ref="A57:G57"/>
    <mergeCell ref="I57:O57"/>
    <mergeCell ref="Q57:W57"/>
    <mergeCell ref="A65:G65"/>
    <mergeCell ref="A41:G41"/>
    <mergeCell ref="I41:O41"/>
    <mergeCell ref="Q41:W41"/>
    <mergeCell ref="I25:O25"/>
    <mergeCell ref="Q25:W25"/>
    <mergeCell ref="A33:G33"/>
    <mergeCell ref="I33:O33"/>
    <mergeCell ref="Q33:W33"/>
    <mergeCell ref="Q9:W9"/>
    <mergeCell ref="A17:G17"/>
    <mergeCell ref="I17:O17"/>
    <mergeCell ref="Q17:W17"/>
    <mergeCell ref="A1:G1"/>
    <mergeCell ref="I1:O1"/>
    <mergeCell ref="Q1:W1"/>
    <mergeCell ref="A9:G9"/>
    <mergeCell ref="I9:O9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1"/>
  <sheetViews>
    <sheetView showGridLines="0" topLeftCell="P41" workbookViewId="0">
      <selection activeCell="T5" sqref="T5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0.7</v>
      </c>
      <c r="C3" s="16">
        <v>0.65</v>
      </c>
      <c r="D3" s="16">
        <v>0.67</v>
      </c>
      <c r="E3" s="34">
        <v>192</v>
      </c>
      <c r="F3" s="16" t="s">
        <v>116</v>
      </c>
      <c r="G3" s="28">
        <v>0.64058932648401801</v>
      </c>
      <c r="H3" s="15"/>
      <c r="I3" s="40">
        <v>0</v>
      </c>
      <c r="J3" s="45">
        <v>0.69</v>
      </c>
      <c r="K3" s="16">
        <v>0.63</v>
      </c>
      <c r="L3" s="16">
        <v>0.66</v>
      </c>
      <c r="M3" s="34">
        <v>1075</v>
      </c>
      <c r="N3" s="46" t="s">
        <v>100</v>
      </c>
      <c r="O3" s="28">
        <v>0.63625313994003696</v>
      </c>
      <c r="P3" s="15"/>
      <c r="Q3" s="40">
        <v>0</v>
      </c>
      <c r="R3" s="10">
        <v>0.73</v>
      </c>
      <c r="S3" s="16">
        <v>0.54</v>
      </c>
      <c r="T3" s="16">
        <v>0.62</v>
      </c>
      <c r="U3" s="34">
        <v>987</v>
      </c>
      <c r="V3" s="16" t="s">
        <v>134</v>
      </c>
      <c r="W3" s="28">
        <v>0.67059336409747095</v>
      </c>
    </row>
    <row r="4" spans="1:23" ht="20" customHeight="1" x14ac:dyDescent="0.15">
      <c r="A4" s="41">
        <v>1</v>
      </c>
      <c r="B4" s="11">
        <v>0.57999999999999996</v>
      </c>
      <c r="C4" s="12">
        <v>0.63</v>
      </c>
      <c r="D4" s="12">
        <v>0.6</v>
      </c>
      <c r="E4" s="35">
        <v>146</v>
      </c>
      <c r="F4" s="12" t="s">
        <v>117</v>
      </c>
      <c r="G4" s="29"/>
      <c r="H4" s="15"/>
      <c r="I4" s="41">
        <v>1</v>
      </c>
      <c r="J4" s="11">
        <v>0.57999999999999996</v>
      </c>
      <c r="K4" s="12">
        <v>0.64</v>
      </c>
      <c r="L4" s="12">
        <v>0.61</v>
      </c>
      <c r="M4" s="35">
        <v>861</v>
      </c>
      <c r="N4" s="47" t="s">
        <v>101</v>
      </c>
      <c r="O4" s="29"/>
      <c r="P4" s="15"/>
      <c r="Q4" s="41">
        <v>1</v>
      </c>
      <c r="R4" s="11">
        <v>0.63</v>
      </c>
      <c r="S4" s="12">
        <v>0.8</v>
      </c>
      <c r="T4" s="12">
        <v>0.7</v>
      </c>
      <c r="U4" s="35">
        <v>961</v>
      </c>
      <c r="V4" s="12" t="s">
        <v>78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0.64</v>
      </c>
      <c r="E5" s="35">
        <v>338</v>
      </c>
      <c r="F5" s="12"/>
      <c r="G5" s="29"/>
      <c r="H5" s="15"/>
      <c r="I5" s="42" t="s">
        <v>95</v>
      </c>
      <c r="J5" s="11" t="s">
        <v>167</v>
      </c>
      <c r="K5" s="12" t="s">
        <v>167</v>
      </c>
      <c r="L5" s="21">
        <v>0.64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0.64</v>
      </c>
      <c r="C6" s="12">
        <v>0.64</v>
      </c>
      <c r="D6" s="12">
        <v>0.64</v>
      </c>
      <c r="E6" s="35">
        <v>338</v>
      </c>
      <c r="F6" s="12"/>
      <c r="G6" s="29"/>
      <c r="H6" s="15"/>
      <c r="I6" s="42" t="s">
        <v>166</v>
      </c>
      <c r="J6" s="11">
        <v>0.63</v>
      </c>
      <c r="K6" s="12">
        <v>0.64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0.68</v>
      </c>
      <c r="S6" s="12">
        <v>0.67</v>
      </c>
      <c r="T6" s="12">
        <v>0.66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0.65</v>
      </c>
      <c r="C7" s="12">
        <v>0.64</v>
      </c>
      <c r="D7" s="12">
        <v>0.64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0.64</v>
      </c>
      <c r="L7" s="12">
        <v>0.64</v>
      </c>
      <c r="M7" s="35">
        <v>1936</v>
      </c>
      <c r="N7" s="12"/>
      <c r="O7" s="29"/>
      <c r="P7" s="15"/>
      <c r="Q7" s="42" t="s">
        <v>98</v>
      </c>
      <c r="R7" s="11">
        <v>0.68</v>
      </c>
      <c r="S7" s="12">
        <v>0.67</v>
      </c>
      <c r="T7" s="12">
        <v>0.66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0.64</v>
      </c>
      <c r="C11" s="2">
        <v>0.74</v>
      </c>
      <c r="D11" s="2">
        <v>0.69</v>
      </c>
      <c r="E11" s="37">
        <v>192</v>
      </c>
      <c r="F11" s="19" t="s">
        <v>118</v>
      </c>
      <c r="G11" s="5">
        <v>0.59581906392693995</v>
      </c>
      <c r="H11" s="15"/>
      <c r="I11" s="40">
        <v>0</v>
      </c>
      <c r="J11" s="1">
        <v>0.68</v>
      </c>
      <c r="K11" s="2">
        <v>0.67</v>
      </c>
      <c r="L11" s="2">
        <v>0.68</v>
      </c>
      <c r="M11" s="37">
        <v>1075</v>
      </c>
      <c r="N11" s="19" t="s">
        <v>102</v>
      </c>
      <c r="O11" s="5">
        <v>0.63929935445533803</v>
      </c>
      <c r="P11" s="15"/>
      <c r="Q11" s="40">
        <v>0</v>
      </c>
      <c r="R11" s="1">
        <v>0.68</v>
      </c>
      <c r="S11" s="2">
        <v>0.56999999999999995</v>
      </c>
      <c r="T11" s="2">
        <v>0.62</v>
      </c>
      <c r="U11" s="37">
        <v>987</v>
      </c>
      <c r="V11" s="19" t="s">
        <v>135</v>
      </c>
      <c r="W11" s="5">
        <v>0.64686502050063899</v>
      </c>
    </row>
    <row r="12" spans="1:23" ht="20" customHeight="1" x14ac:dyDescent="0.15">
      <c r="A12" s="41">
        <v>1</v>
      </c>
      <c r="B12" s="3">
        <v>0.56999999999999995</v>
      </c>
      <c r="C12" s="4">
        <v>0.45</v>
      </c>
      <c r="D12" s="4">
        <v>0.5</v>
      </c>
      <c r="E12" s="38">
        <v>146</v>
      </c>
      <c r="F12" s="4" t="s">
        <v>119</v>
      </c>
      <c r="G12" s="31"/>
      <c r="H12" s="15"/>
      <c r="I12" s="41">
        <v>1</v>
      </c>
      <c r="J12" s="3">
        <v>0.6</v>
      </c>
      <c r="K12" s="4">
        <v>0.61</v>
      </c>
      <c r="L12" s="4">
        <v>0.6</v>
      </c>
      <c r="M12" s="38">
        <v>861</v>
      </c>
      <c r="N12" s="4" t="s">
        <v>103</v>
      </c>
      <c r="O12" s="31"/>
      <c r="P12" s="15"/>
      <c r="Q12" s="41">
        <v>1</v>
      </c>
      <c r="R12" s="3">
        <v>0.62</v>
      </c>
      <c r="S12" s="4">
        <v>0.73</v>
      </c>
      <c r="T12" s="4">
        <v>0.67</v>
      </c>
      <c r="U12" s="38">
        <v>961</v>
      </c>
      <c r="V12" s="4" t="s">
        <v>80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0.62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0.64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0.65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</v>
      </c>
      <c r="C14" s="4">
        <v>0.6</v>
      </c>
      <c r="D14" s="4">
        <v>0.59</v>
      </c>
      <c r="E14" s="38">
        <v>338</v>
      </c>
      <c r="F14" s="4"/>
      <c r="G14" s="31"/>
      <c r="H14" s="15"/>
      <c r="I14" s="42" t="s">
        <v>97</v>
      </c>
      <c r="J14" s="3">
        <v>0.64</v>
      </c>
      <c r="K14" s="4">
        <v>0.64</v>
      </c>
      <c r="L14" s="4">
        <v>0.64</v>
      </c>
      <c r="M14" s="38">
        <v>1936</v>
      </c>
      <c r="N14" s="4"/>
      <c r="O14" s="31"/>
      <c r="P14" s="15"/>
      <c r="Q14" s="42" t="s">
        <v>97</v>
      </c>
      <c r="R14" s="3">
        <v>0.65</v>
      </c>
      <c r="S14" s="4">
        <v>0.65</v>
      </c>
      <c r="T14" s="4">
        <v>0.64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0.61</v>
      </c>
      <c r="C15" s="4">
        <v>0.62</v>
      </c>
      <c r="D15" s="4">
        <v>0.61</v>
      </c>
      <c r="E15" s="38">
        <v>338</v>
      </c>
      <c r="F15" s="4"/>
      <c r="G15" s="31"/>
      <c r="H15" s="15"/>
      <c r="I15" s="42" t="s">
        <v>98</v>
      </c>
      <c r="J15" s="3">
        <v>0.64</v>
      </c>
      <c r="K15" s="4">
        <v>0.64</v>
      </c>
      <c r="L15" s="4">
        <v>0.64</v>
      </c>
      <c r="M15" s="38">
        <v>1936</v>
      </c>
      <c r="N15" s="4"/>
      <c r="O15" s="31"/>
      <c r="P15" s="15"/>
      <c r="Q15" s="42" t="s">
        <v>98</v>
      </c>
      <c r="R15" s="3">
        <v>0.65</v>
      </c>
      <c r="S15" s="4">
        <v>0.65</v>
      </c>
      <c r="T15" s="4">
        <v>0.64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0.63</v>
      </c>
      <c r="C19" s="2">
        <v>0.47</v>
      </c>
      <c r="D19" s="2">
        <v>0.54</v>
      </c>
      <c r="E19" s="37">
        <v>192</v>
      </c>
      <c r="F19" s="2" t="s">
        <v>120</v>
      </c>
      <c r="G19" s="5">
        <v>0.55629280821917804</v>
      </c>
      <c r="H19" s="15"/>
      <c r="I19" s="40">
        <v>0</v>
      </c>
      <c r="J19" s="1">
        <v>0.7</v>
      </c>
      <c r="K19" s="2">
        <v>0.37</v>
      </c>
      <c r="L19" s="2">
        <v>0.48</v>
      </c>
      <c r="M19" s="37">
        <v>1075</v>
      </c>
      <c r="N19" s="2" t="s">
        <v>104</v>
      </c>
      <c r="O19" s="5">
        <v>0.58499851443697104</v>
      </c>
      <c r="P19" s="15"/>
      <c r="Q19" s="40">
        <v>0</v>
      </c>
      <c r="R19" s="1">
        <v>0.53</v>
      </c>
      <c r="S19" s="2">
        <v>0.96</v>
      </c>
      <c r="T19" s="2">
        <v>0.69</v>
      </c>
      <c r="U19" s="37">
        <v>987</v>
      </c>
      <c r="V19" s="2" t="s">
        <v>136</v>
      </c>
      <c r="W19" s="5">
        <v>0.54940079514436901</v>
      </c>
    </row>
    <row r="20" spans="1:23" ht="20" customHeight="1" x14ac:dyDescent="0.15">
      <c r="A20" s="41">
        <v>1</v>
      </c>
      <c r="B20" s="3">
        <v>0.48</v>
      </c>
      <c r="C20" s="4">
        <v>0.64</v>
      </c>
      <c r="D20" s="4">
        <v>0.55000000000000004</v>
      </c>
      <c r="E20" s="38">
        <v>146</v>
      </c>
      <c r="F20" s="4" t="s">
        <v>121</v>
      </c>
      <c r="G20" s="31"/>
      <c r="H20" s="15"/>
      <c r="I20" s="41">
        <v>1</v>
      </c>
      <c r="J20" s="3">
        <v>0.5</v>
      </c>
      <c r="K20" s="4">
        <v>0.8</v>
      </c>
      <c r="L20" s="4">
        <v>0.62</v>
      </c>
      <c r="M20" s="38">
        <v>861</v>
      </c>
      <c r="N20" s="4" t="s">
        <v>105</v>
      </c>
      <c r="O20" s="31"/>
      <c r="P20" s="15"/>
      <c r="Q20" s="41">
        <v>1</v>
      </c>
      <c r="R20" s="3">
        <v>0.78</v>
      </c>
      <c r="S20" s="4">
        <v>0.14000000000000001</v>
      </c>
      <c r="T20" s="4">
        <v>0.23</v>
      </c>
      <c r="U20" s="38">
        <v>961</v>
      </c>
      <c r="V20" s="4" t="s">
        <v>137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0.54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0.56000000000000005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0.55000000000000004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0.56000000000000005</v>
      </c>
      <c r="C22" s="4">
        <v>0.56000000000000005</v>
      </c>
      <c r="D22" s="4">
        <v>0.54</v>
      </c>
      <c r="E22" s="38">
        <v>338</v>
      </c>
      <c r="F22" s="4"/>
      <c r="G22" s="31"/>
      <c r="H22" s="15"/>
      <c r="I22" s="42" t="s">
        <v>97</v>
      </c>
      <c r="J22" s="3">
        <v>0.6</v>
      </c>
      <c r="K22" s="4">
        <v>0.57999999999999996</v>
      </c>
      <c r="L22" s="4">
        <v>0.55000000000000004</v>
      </c>
      <c r="M22" s="38">
        <v>1936</v>
      </c>
      <c r="N22" s="4"/>
      <c r="O22" s="31"/>
      <c r="P22" s="15"/>
      <c r="Q22" s="42" t="s">
        <v>97</v>
      </c>
      <c r="R22" s="3">
        <v>0.66</v>
      </c>
      <c r="S22" s="4">
        <v>0.55000000000000004</v>
      </c>
      <c r="T22" s="4">
        <v>0.46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0.56999999999999995</v>
      </c>
      <c r="C23" s="4">
        <v>0.54</v>
      </c>
      <c r="D23" s="4">
        <v>0.54</v>
      </c>
      <c r="E23" s="38">
        <v>338</v>
      </c>
      <c r="F23" s="4"/>
      <c r="G23" s="31"/>
      <c r="H23" s="15"/>
      <c r="I23" s="42" t="s">
        <v>98</v>
      </c>
      <c r="J23" s="3">
        <v>0.61</v>
      </c>
      <c r="K23" s="4">
        <v>0.56000000000000005</v>
      </c>
      <c r="L23" s="4">
        <v>0.54</v>
      </c>
      <c r="M23" s="38">
        <v>1936</v>
      </c>
      <c r="N23" s="4"/>
      <c r="O23" s="31"/>
      <c r="P23" s="15"/>
      <c r="Q23" s="42" t="s">
        <v>98</v>
      </c>
      <c r="R23" s="3">
        <v>0.66</v>
      </c>
      <c r="S23" s="4">
        <v>0.55000000000000004</v>
      </c>
      <c r="T23" s="4">
        <v>0.46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0.6</v>
      </c>
      <c r="C27" s="2">
        <v>0.68</v>
      </c>
      <c r="D27" s="2">
        <v>0.64</v>
      </c>
      <c r="E27" s="37">
        <v>163</v>
      </c>
      <c r="F27" s="2" t="s">
        <v>122</v>
      </c>
      <c r="G27" s="5">
        <v>0.63191936897458301</v>
      </c>
      <c r="H27" s="15"/>
      <c r="I27" s="40">
        <v>0</v>
      </c>
      <c r="J27" s="1">
        <v>0.6</v>
      </c>
      <c r="K27" s="2">
        <v>0.65</v>
      </c>
      <c r="L27" s="2">
        <v>0.63</v>
      </c>
      <c r="M27" s="37">
        <v>932</v>
      </c>
      <c r="N27" s="2" t="s">
        <v>106</v>
      </c>
      <c r="O27" s="5">
        <v>0.62697707025973304</v>
      </c>
      <c r="P27" s="15"/>
      <c r="Q27" s="40">
        <v>0</v>
      </c>
      <c r="R27" s="1">
        <v>0.68</v>
      </c>
      <c r="S27" s="2">
        <v>0.56000000000000005</v>
      </c>
      <c r="T27" s="2">
        <v>0.61</v>
      </c>
      <c r="U27" s="37">
        <v>810</v>
      </c>
      <c r="V27" s="2" t="s">
        <v>138</v>
      </c>
      <c r="W27" s="5">
        <v>0.68586647573173598</v>
      </c>
    </row>
    <row r="28" spans="1:23" ht="20" customHeight="1" x14ac:dyDescent="0.15">
      <c r="A28" s="41">
        <v>1</v>
      </c>
      <c r="B28" s="3">
        <v>0.66</v>
      </c>
      <c r="C28" s="4">
        <v>0.57999999999999996</v>
      </c>
      <c r="D28" s="4">
        <v>0.62</v>
      </c>
      <c r="E28" s="38">
        <v>175</v>
      </c>
      <c r="F28" s="4" t="s">
        <v>123</v>
      </c>
      <c r="G28" s="31"/>
      <c r="H28" s="15"/>
      <c r="I28" s="41">
        <v>1</v>
      </c>
      <c r="J28" s="3">
        <v>0.65</v>
      </c>
      <c r="K28" s="4">
        <v>0.6</v>
      </c>
      <c r="L28" s="4">
        <v>0.63</v>
      </c>
      <c r="M28" s="38">
        <v>1004</v>
      </c>
      <c r="N28" s="4" t="s">
        <v>107</v>
      </c>
      <c r="O28" s="31"/>
      <c r="P28" s="15"/>
      <c r="Q28" s="41">
        <v>1</v>
      </c>
      <c r="R28" s="3">
        <v>0.72</v>
      </c>
      <c r="S28" s="4">
        <v>0.81</v>
      </c>
      <c r="T28" s="4">
        <v>0.76</v>
      </c>
      <c r="U28" s="38">
        <v>1138</v>
      </c>
      <c r="V28" s="4" t="s">
        <v>139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0.63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0.63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0.71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0.63</v>
      </c>
      <c r="C30" s="4">
        <v>0.63</v>
      </c>
      <c r="D30" s="4">
        <v>0.63</v>
      </c>
      <c r="E30" s="38">
        <v>338</v>
      </c>
      <c r="F30" s="4"/>
      <c r="G30" s="31"/>
      <c r="H30" s="15"/>
      <c r="I30" s="42" t="s">
        <v>97</v>
      </c>
      <c r="J30" s="3">
        <v>0.63</v>
      </c>
      <c r="K30" s="4">
        <v>0.63</v>
      </c>
      <c r="L30" s="4">
        <v>0.63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0.69</v>
      </c>
      <c r="T30" s="4">
        <v>0.69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0.63</v>
      </c>
      <c r="C31" s="4">
        <v>0.63</v>
      </c>
      <c r="D31" s="4">
        <v>0.63</v>
      </c>
      <c r="E31" s="38">
        <v>338</v>
      </c>
      <c r="F31" s="4"/>
      <c r="G31" s="31"/>
      <c r="H31" s="15"/>
      <c r="I31" s="42" t="s">
        <v>98</v>
      </c>
      <c r="J31" s="3">
        <v>0.63</v>
      </c>
      <c r="K31" s="4">
        <v>0.63</v>
      </c>
      <c r="L31" s="4">
        <v>0.63</v>
      </c>
      <c r="M31" s="38">
        <v>1936</v>
      </c>
      <c r="N31" s="4"/>
      <c r="O31" s="31"/>
      <c r="P31" s="15"/>
      <c r="Q31" s="42" t="s">
        <v>98</v>
      </c>
      <c r="R31" s="3">
        <v>0.7</v>
      </c>
      <c r="S31" s="4">
        <v>0.71</v>
      </c>
      <c r="T31" s="4">
        <v>0.7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0.56000000000000005</v>
      </c>
      <c r="C35" s="2">
        <v>0.69</v>
      </c>
      <c r="D35" s="2">
        <v>0.62</v>
      </c>
      <c r="E35" s="37">
        <v>163</v>
      </c>
      <c r="F35" s="2" t="s">
        <v>124</v>
      </c>
      <c r="G35" s="5">
        <v>0.59234005258545097</v>
      </c>
      <c r="H35" s="15"/>
      <c r="I35" s="40">
        <v>0</v>
      </c>
      <c r="J35" s="1">
        <v>0.6</v>
      </c>
      <c r="K35" s="2">
        <v>0.67</v>
      </c>
      <c r="L35" s="2">
        <v>0.63</v>
      </c>
      <c r="M35" s="37">
        <v>932</v>
      </c>
      <c r="N35" s="2" t="s">
        <v>108</v>
      </c>
      <c r="O35" s="5">
        <v>0.62360857001179804</v>
      </c>
      <c r="P35" s="15"/>
      <c r="Q35" s="40">
        <v>0</v>
      </c>
      <c r="R35" s="1">
        <v>0.63</v>
      </c>
      <c r="S35" s="2">
        <v>0.56999999999999995</v>
      </c>
      <c r="T35" s="2">
        <v>0.6</v>
      </c>
      <c r="U35" s="37">
        <v>810</v>
      </c>
      <c r="V35" s="2" t="s">
        <v>140</v>
      </c>
      <c r="W35" s="5">
        <v>0.66611664388465797</v>
      </c>
    </row>
    <row r="36" spans="1:23" ht="20" customHeight="1" x14ac:dyDescent="0.15">
      <c r="A36" s="41">
        <v>1</v>
      </c>
      <c r="B36" s="3">
        <v>0.63</v>
      </c>
      <c r="C36" s="4">
        <v>0.49</v>
      </c>
      <c r="D36" s="4">
        <v>0.55000000000000004</v>
      </c>
      <c r="E36" s="38">
        <v>175</v>
      </c>
      <c r="F36" s="4" t="s">
        <v>125</v>
      </c>
      <c r="G36" s="31"/>
      <c r="H36" s="15"/>
      <c r="I36" s="41">
        <v>1</v>
      </c>
      <c r="J36" s="3">
        <v>0.65</v>
      </c>
      <c r="K36" s="4">
        <v>0.57999999999999996</v>
      </c>
      <c r="L36" s="4">
        <v>0.61</v>
      </c>
      <c r="M36" s="38">
        <v>1004</v>
      </c>
      <c r="N36" s="4" t="s">
        <v>109</v>
      </c>
      <c r="O36" s="31"/>
      <c r="P36" s="15"/>
      <c r="Q36" s="41">
        <v>1</v>
      </c>
      <c r="R36" s="3">
        <v>0.71</v>
      </c>
      <c r="S36" s="4">
        <v>0.76</v>
      </c>
      <c r="T36" s="4">
        <v>0.74</v>
      </c>
      <c r="U36" s="38">
        <v>1138</v>
      </c>
      <c r="V36" s="4" t="s">
        <v>141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0.59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0.62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0.68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</v>
      </c>
      <c r="C38" s="4">
        <v>0.59</v>
      </c>
      <c r="D38" s="4">
        <v>0.59</v>
      </c>
      <c r="E38" s="38">
        <v>338</v>
      </c>
      <c r="F38" s="4"/>
      <c r="G38" s="31"/>
      <c r="H38" s="15"/>
      <c r="I38" s="42" t="s">
        <v>97</v>
      </c>
      <c r="J38" s="3">
        <v>0.62</v>
      </c>
      <c r="K38" s="4">
        <v>0.62</v>
      </c>
      <c r="L38" s="4">
        <v>0.62</v>
      </c>
      <c r="M38" s="38">
        <v>1936</v>
      </c>
      <c r="N38" s="4"/>
      <c r="O38" s="31"/>
      <c r="P38" s="15"/>
      <c r="Q38" s="42" t="s">
        <v>97</v>
      </c>
      <c r="R38" s="3">
        <v>0.67</v>
      </c>
      <c r="S38" s="4">
        <v>0.67</v>
      </c>
      <c r="T38" s="4">
        <v>0.67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</v>
      </c>
      <c r="C39" s="4">
        <v>0.59</v>
      </c>
      <c r="D39" s="4">
        <v>0.57999999999999996</v>
      </c>
      <c r="E39" s="38">
        <v>338</v>
      </c>
      <c r="F39" s="4"/>
      <c r="G39" s="31"/>
      <c r="H39" s="15"/>
      <c r="I39" s="42" t="s">
        <v>98</v>
      </c>
      <c r="J39" s="3">
        <v>0.63</v>
      </c>
      <c r="K39" s="4">
        <v>0.62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0.68</v>
      </c>
      <c r="S39" s="4">
        <v>0.68</v>
      </c>
      <c r="T39" s="4">
        <v>0.68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0.52</v>
      </c>
      <c r="C43" s="2">
        <v>0.67</v>
      </c>
      <c r="D43" s="2">
        <v>0.57999999999999996</v>
      </c>
      <c r="E43" s="37">
        <v>163</v>
      </c>
      <c r="F43" s="2" t="s">
        <v>126</v>
      </c>
      <c r="G43" s="5">
        <v>0.54578439964943004</v>
      </c>
      <c r="H43" s="15"/>
      <c r="I43" s="40">
        <v>0</v>
      </c>
      <c r="J43" s="1">
        <v>0.56999999999999995</v>
      </c>
      <c r="K43" s="2">
        <v>0.53</v>
      </c>
      <c r="L43" s="2">
        <v>0.55000000000000004</v>
      </c>
      <c r="M43" s="37">
        <v>932</v>
      </c>
      <c r="N43" s="2" t="s">
        <v>110</v>
      </c>
      <c r="O43" s="5">
        <v>0.57566301318331803</v>
      </c>
      <c r="P43" s="15"/>
      <c r="Q43" s="40">
        <v>0</v>
      </c>
      <c r="R43" s="1">
        <v>0.65</v>
      </c>
      <c r="S43" s="2">
        <v>0.12</v>
      </c>
      <c r="T43" s="2">
        <v>0.21</v>
      </c>
      <c r="U43" s="37">
        <v>810</v>
      </c>
      <c r="V43" s="2" t="s">
        <v>142</v>
      </c>
      <c r="W43" s="5">
        <v>0.53782464362429205</v>
      </c>
    </row>
    <row r="44" spans="1:23" ht="20" customHeight="1" x14ac:dyDescent="0.15">
      <c r="A44" s="41">
        <v>1</v>
      </c>
      <c r="B44" s="3">
        <v>0.57999999999999996</v>
      </c>
      <c r="C44" s="4">
        <v>0.42</v>
      </c>
      <c r="D44" s="4">
        <v>0.49</v>
      </c>
      <c r="E44" s="38">
        <v>175</v>
      </c>
      <c r="F44" s="4" t="s">
        <v>127</v>
      </c>
      <c r="G44" s="31"/>
      <c r="H44" s="15"/>
      <c r="I44" s="41">
        <v>1</v>
      </c>
      <c r="J44" s="3">
        <v>0.59</v>
      </c>
      <c r="K44" s="4">
        <v>0.62</v>
      </c>
      <c r="L44" s="4">
        <v>0.61</v>
      </c>
      <c r="M44" s="38">
        <v>1004</v>
      </c>
      <c r="N44" s="4" t="s">
        <v>111</v>
      </c>
      <c r="O44" s="31"/>
      <c r="P44" s="15"/>
      <c r="Q44" s="41">
        <v>1</v>
      </c>
      <c r="R44" s="3">
        <v>0.6</v>
      </c>
      <c r="S44" s="4">
        <v>0.95</v>
      </c>
      <c r="T44" s="4">
        <v>0.74</v>
      </c>
      <c r="U44" s="38">
        <v>1138</v>
      </c>
      <c r="V44" s="4" t="s">
        <v>143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0.54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0.57999999999999996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0.61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0.55000000000000004</v>
      </c>
      <c r="C46" s="4">
        <v>0.55000000000000004</v>
      </c>
      <c r="D46" s="4">
        <v>0.54</v>
      </c>
      <c r="E46" s="38">
        <v>338</v>
      </c>
      <c r="F46" s="4"/>
      <c r="G46" s="31"/>
      <c r="H46" s="15"/>
      <c r="I46" s="42" t="s">
        <v>97</v>
      </c>
      <c r="J46" s="3">
        <v>0.57999999999999996</v>
      </c>
      <c r="K46" s="4">
        <v>0.57999999999999996</v>
      </c>
      <c r="L46" s="4">
        <v>0.57999999999999996</v>
      </c>
      <c r="M46" s="38">
        <v>1936</v>
      </c>
      <c r="N46" s="4"/>
      <c r="O46" s="31"/>
      <c r="P46" s="15"/>
      <c r="Q46" s="42" t="s">
        <v>97</v>
      </c>
      <c r="R46" s="3">
        <v>0.63</v>
      </c>
      <c r="S46" s="4">
        <v>0.54</v>
      </c>
      <c r="T46" s="4">
        <v>0.47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0.55000000000000004</v>
      </c>
      <c r="C47" s="4">
        <v>0.54</v>
      </c>
      <c r="D47" s="4">
        <v>0.53</v>
      </c>
      <c r="E47" s="38">
        <v>338</v>
      </c>
      <c r="F47" s="4"/>
      <c r="G47" s="31"/>
      <c r="H47" s="15"/>
      <c r="I47" s="42" t="s">
        <v>98</v>
      </c>
      <c r="J47" s="3">
        <v>0.57999999999999996</v>
      </c>
      <c r="K47" s="4">
        <v>0.57999999999999996</v>
      </c>
      <c r="L47" s="4">
        <v>0.57999999999999996</v>
      </c>
      <c r="M47" s="38">
        <v>1936</v>
      </c>
      <c r="N47" s="4"/>
      <c r="O47" s="31"/>
      <c r="P47" s="15"/>
      <c r="Q47" s="42" t="s">
        <v>98</v>
      </c>
      <c r="R47" s="3">
        <v>0.62</v>
      </c>
      <c r="S47" s="4">
        <v>0.61</v>
      </c>
      <c r="T47" s="4">
        <v>0.52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0.64</v>
      </c>
      <c r="C51" s="2">
        <v>0.36</v>
      </c>
      <c r="D51" s="2">
        <v>0.46</v>
      </c>
      <c r="E51" s="37">
        <v>163</v>
      </c>
      <c r="F51" s="2" t="s">
        <v>128</v>
      </c>
      <c r="G51" s="5">
        <v>0.58669588080630997</v>
      </c>
      <c r="H51" s="15"/>
      <c r="I51" s="40">
        <v>0</v>
      </c>
      <c r="J51" s="1">
        <v>0.65</v>
      </c>
      <c r="K51" s="2">
        <v>0.28000000000000003</v>
      </c>
      <c r="L51" s="2">
        <v>0.4</v>
      </c>
      <c r="M51" s="37">
        <v>915</v>
      </c>
      <c r="N51" s="2" t="s">
        <v>112</v>
      </c>
      <c r="O51" s="5">
        <v>0.57302655170383598</v>
      </c>
      <c r="P51" s="15"/>
      <c r="Q51" s="40">
        <v>0</v>
      </c>
      <c r="R51" s="1">
        <v>0.68</v>
      </c>
      <c r="S51" s="2">
        <v>0.34</v>
      </c>
      <c r="T51" s="2">
        <v>0.46</v>
      </c>
      <c r="U51" s="37">
        <v>881</v>
      </c>
      <c r="V51" s="2" t="s">
        <v>144</v>
      </c>
      <c r="W51" s="5">
        <v>0.60635917904485703</v>
      </c>
    </row>
    <row r="52" spans="1:23" ht="20" customHeight="1" x14ac:dyDescent="0.15">
      <c r="A52" s="41">
        <v>1</v>
      </c>
      <c r="B52" s="3">
        <v>0.57999999999999996</v>
      </c>
      <c r="C52" s="4">
        <v>0.81</v>
      </c>
      <c r="D52" s="4">
        <v>0.67</v>
      </c>
      <c r="E52" s="38">
        <v>175</v>
      </c>
      <c r="F52" s="4" t="s">
        <v>129</v>
      </c>
      <c r="G52" s="31"/>
      <c r="H52" s="15"/>
      <c r="I52" s="41">
        <v>1</v>
      </c>
      <c r="J52" s="3">
        <v>0.56999999999999995</v>
      </c>
      <c r="K52" s="4">
        <v>0.86</v>
      </c>
      <c r="L52" s="4">
        <v>0.69</v>
      </c>
      <c r="M52" s="38">
        <v>1021</v>
      </c>
      <c r="N52" s="4" t="s">
        <v>113</v>
      </c>
      <c r="O52" s="31"/>
      <c r="P52" s="15"/>
      <c r="Q52" s="41">
        <v>1</v>
      </c>
      <c r="R52" s="3">
        <v>0.62</v>
      </c>
      <c r="S52" s="4">
        <v>0.87</v>
      </c>
      <c r="T52" s="4">
        <v>0.72</v>
      </c>
      <c r="U52" s="38">
        <v>1067</v>
      </c>
      <c r="V52" s="4" t="s">
        <v>145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0.59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0.59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0.63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0.61</v>
      </c>
      <c r="C54" s="4">
        <v>0.59</v>
      </c>
      <c r="D54" s="4">
        <v>0.56999999999999995</v>
      </c>
      <c r="E54" s="38">
        <v>338</v>
      </c>
      <c r="F54" s="4"/>
      <c r="G54" s="31"/>
      <c r="H54" s="15"/>
      <c r="I54" s="42" t="s">
        <v>97</v>
      </c>
      <c r="J54" s="3">
        <v>0.61</v>
      </c>
      <c r="K54" s="4">
        <v>0.56999999999999995</v>
      </c>
      <c r="L54" s="4">
        <v>0.54</v>
      </c>
      <c r="M54" s="38">
        <v>1936</v>
      </c>
      <c r="N54" s="4"/>
      <c r="O54" s="31"/>
      <c r="P54" s="15"/>
      <c r="Q54" s="42" t="s">
        <v>97</v>
      </c>
      <c r="R54" s="3">
        <v>0.65</v>
      </c>
      <c r="S54" s="4">
        <v>0.61</v>
      </c>
      <c r="T54" s="4">
        <v>0.59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0.61</v>
      </c>
      <c r="C55" s="4">
        <v>0.59</v>
      </c>
      <c r="D55" s="4">
        <v>0.56999999999999995</v>
      </c>
      <c r="E55" s="38">
        <v>338</v>
      </c>
      <c r="F55" s="4"/>
      <c r="G55" s="31"/>
      <c r="H55" s="15"/>
      <c r="I55" s="42" t="s">
        <v>98</v>
      </c>
      <c r="J55" s="3">
        <v>0.61</v>
      </c>
      <c r="K55" s="4">
        <v>0.59</v>
      </c>
      <c r="L55" s="4">
        <v>0.55000000000000004</v>
      </c>
      <c r="M55" s="38">
        <v>1936</v>
      </c>
      <c r="N55" s="4"/>
      <c r="O55" s="31"/>
      <c r="P55" s="15"/>
      <c r="Q55" s="42" t="s">
        <v>98</v>
      </c>
      <c r="R55" s="3">
        <v>0.65</v>
      </c>
      <c r="S55" s="4">
        <v>0.63</v>
      </c>
      <c r="T55" s="4">
        <v>0.6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0.56999999999999995</v>
      </c>
      <c r="C59" s="2">
        <v>0.53</v>
      </c>
      <c r="D59" s="2">
        <v>0.55000000000000004</v>
      </c>
      <c r="E59" s="37">
        <v>163</v>
      </c>
      <c r="F59" s="2" t="s">
        <v>130</v>
      </c>
      <c r="G59" s="5">
        <v>0.58115687992988596</v>
      </c>
      <c r="H59" s="15"/>
      <c r="I59" s="40">
        <v>0</v>
      </c>
      <c r="J59" s="1">
        <v>0.61</v>
      </c>
      <c r="K59" s="2">
        <v>0.43</v>
      </c>
      <c r="L59" s="2">
        <v>0.5</v>
      </c>
      <c r="M59" s="37">
        <v>915</v>
      </c>
      <c r="N59" s="2" t="s">
        <v>114</v>
      </c>
      <c r="O59" s="5">
        <v>0.58993325947453201</v>
      </c>
      <c r="P59" s="15"/>
      <c r="Q59" s="40">
        <v>0</v>
      </c>
      <c r="R59" s="1">
        <v>0.63</v>
      </c>
      <c r="S59" s="2">
        <v>0.38</v>
      </c>
      <c r="T59" s="2">
        <v>0.47</v>
      </c>
      <c r="U59" s="37">
        <v>881</v>
      </c>
      <c r="V59" s="2" t="s">
        <v>146</v>
      </c>
      <c r="W59" s="5">
        <v>0.59724241963262703</v>
      </c>
    </row>
    <row r="60" spans="1:23" ht="20" customHeight="1" x14ac:dyDescent="0.15">
      <c r="A60" s="41">
        <v>1</v>
      </c>
      <c r="B60" s="3">
        <v>0.59</v>
      </c>
      <c r="C60" s="4">
        <v>0.63</v>
      </c>
      <c r="D60" s="4">
        <v>0.61</v>
      </c>
      <c r="E60" s="38">
        <v>175</v>
      </c>
      <c r="F60" s="4" t="s">
        <v>131</v>
      </c>
      <c r="G60" s="31"/>
      <c r="H60" s="15"/>
      <c r="I60" s="41">
        <v>1</v>
      </c>
      <c r="J60" s="3">
        <v>0.59</v>
      </c>
      <c r="K60" s="4">
        <v>0.75</v>
      </c>
      <c r="L60" s="4">
        <v>0.66</v>
      </c>
      <c r="M60" s="38">
        <v>1021</v>
      </c>
      <c r="N60" s="4" t="s">
        <v>115</v>
      </c>
      <c r="O60" s="31"/>
      <c r="P60" s="15"/>
      <c r="Q60" s="41">
        <v>1</v>
      </c>
      <c r="R60" s="3">
        <v>0.61</v>
      </c>
      <c r="S60" s="4">
        <v>0.82</v>
      </c>
      <c r="T60" s="4">
        <v>0.7</v>
      </c>
      <c r="U60" s="38">
        <v>1067</v>
      </c>
      <c r="V60" s="4" t="s">
        <v>147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0.57999999999999996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0.6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0.62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0.57999999999999996</v>
      </c>
      <c r="C62" s="4">
        <v>0.57999999999999996</v>
      </c>
      <c r="D62" s="4">
        <v>0.57999999999999996</v>
      </c>
      <c r="E62" s="38">
        <v>338</v>
      </c>
      <c r="F62" s="4"/>
      <c r="G62" s="31"/>
      <c r="H62" s="15"/>
      <c r="I62" s="42" t="s">
        <v>97</v>
      </c>
      <c r="J62" s="3">
        <v>0.6</v>
      </c>
      <c r="K62" s="4">
        <v>0.59</v>
      </c>
      <c r="L62" s="4">
        <v>0.57999999999999996</v>
      </c>
      <c r="M62" s="38">
        <v>1936</v>
      </c>
      <c r="N62" s="4"/>
      <c r="O62" s="31"/>
      <c r="P62" s="15"/>
      <c r="Q62" s="42" t="s">
        <v>97</v>
      </c>
      <c r="R62" s="3">
        <v>0.62</v>
      </c>
      <c r="S62" s="4">
        <v>0.6</v>
      </c>
      <c r="T62" s="4">
        <v>0.59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0.57999999999999996</v>
      </c>
      <c r="C63" s="4">
        <v>0.57999999999999996</v>
      </c>
      <c r="D63" s="4">
        <v>0.57999999999999996</v>
      </c>
      <c r="E63" s="38">
        <v>338</v>
      </c>
      <c r="F63" s="4"/>
      <c r="G63" s="31"/>
      <c r="H63" s="15"/>
      <c r="I63" s="42" t="s">
        <v>98</v>
      </c>
      <c r="J63" s="3">
        <v>0.6</v>
      </c>
      <c r="K63" s="4">
        <v>0.6</v>
      </c>
      <c r="L63" s="4">
        <v>0.59</v>
      </c>
      <c r="M63" s="38">
        <v>1936</v>
      </c>
      <c r="N63" s="4"/>
      <c r="O63" s="31"/>
      <c r="P63" s="15"/>
      <c r="Q63" s="42" t="s">
        <v>98</v>
      </c>
      <c r="R63" s="3">
        <v>0.62</v>
      </c>
      <c r="S63" s="4">
        <v>0.62</v>
      </c>
      <c r="T63" s="4">
        <v>0.6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0.48</v>
      </c>
      <c r="C67" s="2">
        <v>0.31</v>
      </c>
      <c r="D67" s="2">
        <v>0.38</v>
      </c>
      <c r="E67" s="37">
        <v>163</v>
      </c>
      <c r="F67" s="2" t="s">
        <v>132</v>
      </c>
      <c r="G67" s="5">
        <v>0.499298860648553</v>
      </c>
      <c r="H67" s="15"/>
      <c r="I67" s="40">
        <v>0</v>
      </c>
      <c r="J67" s="1">
        <v>0.52</v>
      </c>
      <c r="K67" s="2">
        <v>0.77</v>
      </c>
      <c r="L67" s="2">
        <v>0.62</v>
      </c>
      <c r="M67" s="37">
        <v>915</v>
      </c>
      <c r="N67" s="2" t="s">
        <v>75</v>
      </c>
      <c r="O67" s="5">
        <v>0.56888938841701298</v>
      </c>
      <c r="P67" s="15"/>
      <c r="Q67" s="40">
        <v>0</v>
      </c>
      <c r="R67" s="1">
        <v>0.47</v>
      </c>
      <c r="S67" s="2">
        <v>0.98</v>
      </c>
      <c r="T67" s="2">
        <v>0.63</v>
      </c>
      <c r="U67" s="37">
        <v>881</v>
      </c>
      <c r="V67" s="2" t="s">
        <v>148</v>
      </c>
      <c r="W67" s="5">
        <v>0.52784015778270199</v>
      </c>
    </row>
    <row r="68" spans="1:23" ht="20" customHeight="1" x14ac:dyDescent="0.15">
      <c r="A68" s="41">
        <v>1</v>
      </c>
      <c r="B68" s="3">
        <v>0.52</v>
      </c>
      <c r="C68" s="4">
        <v>0.69</v>
      </c>
      <c r="D68" s="4">
        <v>0.59</v>
      </c>
      <c r="E68" s="38">
        <v>175</v>
      </c>
      <c r="F68" s="4" t="s">
        <v>133</v>
      </c>
      <c r="G68" s="31"/>
      <c r="H68" s="15"/>
      <c r="I68" s="41">
        <v>1</v>
      </c>
      <c r="J68" s="3">
        <v>0.64</v>
      </c>
      <c r="K68" s="4">
        <v>0.37</v>
      </c>
      <c r="L68" s="4">
        <v>0.47</v>
      </c>
      <c r="M68" s="38">
        <v>1021</v>
      </c>
      <c r="N68" s="4" t="s">
        <v>76</v>
      </c>
      <c r="O68" s="31"/>
      <c r="P68" s="15"/>
      <c r="Q68" s="41">
        <v>1</v>
      </c>
      <c r="R68" s="3">
        <v>0.82</v>
      </c>
      <c r="S68" s="4">
        <v>7.0000000000000007E-2</v>
      </c>
      <c r="T68" s="4">
        <v>0.14000000000000001</v>
      </c>
      <c r="U68" s="38">
        <v>1067</v>
      </c>
      <c r="V68" s="4" t="s">
        <v>149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0.51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0.56000000000000005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0.48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</v>
      </c>
      <c r="C70" s="4">
        <v>0.5</v>
      </c>
      <c r="D70" s="4">
        <v>0.48</v>
      </c>
      <c r="E70" s="38">
        <v>338</v>
      </c>
      <c r="F70" s="4"/>
      <c r="G70" s="31"/>
      <c r="H70" s="15"/>
      <c r="I70" s="42" t="s">
        <v>97</v>
      </c>
      <c r="J70" s="3">
        <v>0.57999999999999996</v>
      </c>
      <c r="K70" s="4">
        <v>0.56999999999999995</v>
      </c>
      <c r="L70" s="4">
        <v>0.54</v>
      </c>
      <c r="M70" s="38">
        <v>1936</v>
      </c>
      <c r="N70" s="4"/>
      <c r="O70" s="31"/>
      <c r="P70" s="15"/>
      <c r="Q70" s="42" t="s">
        <v>97</v>
      </c>
      <c r="R70" s="3">
        <v>0.65</v>
      </c>
      <c r="S70" s="4">
        <v>0.53</v>
      </c>
      <c r="T70" s="4">
        <v>0.38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</v>
      </c>
      <c r="C71" s="4">
        <v>0.51</v>
      </c>
      <c r="D71" s="4">
        <v>0.49</v>
      </c>
      <c r="E71" s="38">
        <v>338</v>
      </c>
      <c r="F71" s="4"/>
      <c r="G71" s="31"/>
      <c r="H71" s="20"/>
      <c r="I71" s="42" t="s">
        <v>98</v>
      </c>
      <c r="J71" s="3">
        <v>0.57999999999999996</v>
      </c>
      <c r="K71" s="4">
        <v>0.56000000000000005</v>
      </c>
      <c r="L71" s="4">
        <v>0.54</v>
      </c>
      <c r="M71" s="38">
        <v>1936</v>
      </c>
      <c r="N71" s="4"/>
      <c r="O71" s="31"/>
      <c r="P71" s="20"/>
      <c r="Q71" s="42" t="s">
        <v>98</v>
      </c>
      <c r="R71" s="3">
        <v>0.66</v>
      </c>
      <c r="S71" s="4">
        <v>0.48</v>
      </c>
      <c r="T71" s="4">
        <v>0.36</v>
      </c>
      <c r="U71" s="38">
        <v>1948</v>
      </c>
      <c r="V71" s="4"/>
      <c r="W71" s="31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71"/>
  <sheetViews>
    <sheetView showGridLines="0" topLeftCell="P44" zoomScale="110" zoomScaleNormal="67" workbookViewId="0">
      <selection activeCell="P44" sqref="A1:XFD1048576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0.68</v>
      </c>
      <c r="C3" s="16">
        <v>0.67</v>
      </c>
      <c r="D3" s="16">
        <v>0.67</v>
      </c>
      <c r="E3" s="34">
        <v>192</v>
      </c>
      <c r="F3" s="16" t="s">
        <v>150</v>
      </c>
      <c r="G3" s="28">
        <v>0.62785388127853803</v>
      </c>
      <c r="H3" s="15"/>
      <c r="I3" s="40">
        <v>0</v>
      </c>
      <c r="J3" s="10">
        <v>0.68</v>
      </c>
      <c r="K3" s="16">
        <v>0.63</v>
      </c>
      <c r="L3" s="16">
        <v>0.65</v>
      </c>
      <c r="M3" s="34">
        <v>1076</v>
      </c>
      <c r="N3" s="16" t="s">
        <v>59</v>
      </c>
      <c r="O3" s="28">
        <v>0.631220281836258</v>
      </c>
      <c r="P3" s="15"/>
      <c r="Q3" s="40">
        <v>0</v>
      </c>
      <c r="R3" s="10">
        <v>0.73</v>
      </c>
      <c r="S3" s="16">
        <v>0.54</v>
      </c>
      <c r="T3" s="16">
        <v>0.62</v>
      </c>
      <c r="U3" s="34">
        <v>987</v>
      </c>
      <c r="V3" s="16" t="s">
        <v>77</v>
      </c>
      <c r="W3" s="28">
        <v>0.66704726480669096</v>
      </c>
    </row>
    <row r="4" spans="1:23" ht="20" customHeight="1" x14ac:dyDescent="0.15">
      <c r="A4" s="41">
        <v>1</v>
      </c>
      <c r="B4" s="11">
        <v>0.56999999999999995</v>
      </c>
      <c r="C4" s="12">
        <v>0.59</v>
      </c>
      <c r="D4" s="12">
        <v>0.57999999999999996</v>
      </c>
      <c r="E4" s="35">
        <v>146</v>
      </c>
      <c r="F4" s="12" t="s">
        <v>151</v>
      </c>
      <c r="G4" s="29"/>
      <c r="H4" s="15"/>
      <c r="I4" s="41">
        <v>1</v>
      </c>
      <c r="J4" s="11">
        <v>0.57999999999999996</v>
      </c>
      <c r="K4" s="12">
        <v>0.64</v>
      </c>
      <c r="L4" s="12">
        <v>0.6</v>
      </c>
      <c r="M4" s="35">
        <v>860</v>
      </c>
      <c r="N4" s="12" t="s">
        <v>60</v>
      </c>
      <c r="O4" s="29"/>
      <c r="P4" s="15"/>
      <c r="Q4" s="41">
        <v>1</v>
      </c>
      <c r="R4" s="11">
        <v>0.63</v>
      </c>
      <c r="S4" s="12">
        <v>0.8</v>
      </c>
      <c r="T4" s="12">
        <v>0.7</v>
      </c>
      <c r="U4" s="35">
        <v>961</v>
      </c>
      <c r="V4" s="12" t="s">
        <v>78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0.63</v>
      </c>
      <c r="E5" s="35">
        <v>338</v>
      </c>
      <c r="F5" s="12"/>
      <c r="G5" s="29"/>
      <c r="H5" s="15"/>
      <c r="I5" s="42" t="s">
        <v>95</v>
      </c>
      <c r="J5" s="11" t="s">
        <v>96</v>
      </c>
      <c r="K5" s="12" t="s">
        <v>96</v>
      </c>
      <c r="L5" s="21">
        <v>0.63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0.63</v>
      </c>
      <c r="C6" s="12">
        <v>0.63</v>
      </c>
      <c r="D6" s="12">
        <v>0.63</v>
      </c>
      <c r="E6" s="35">
        <v>338</v>
      </c>
      <c r="F6" s="12"/>
      <c r="G6" s="29"/>
      <c r="H6" s="15"/>
      <c r="I6" s="42" t="s">
        <v>97</v>
      </c>
      <c r="J6" s="11">
        <v>0.63</v>
      </c>
      <c r="K6" s="12">
        <v>0.63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0.68</v>
      </c>
      <c r="S6" s="12">
        <v>0.67</v>
      </c>
      <c r="T6" s="12">
        <v>0.66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0.63</v>
      </c>
      <c r="C7" s="12">
        <v>0.63</v>
      </c>
      <c r="D7" s="12">
        <v>0.63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0.63</v>
      </c>
      <c r="L7" s="12">
        <v>0.63</v>
      </c>
      <c r="M7" s="35">
        <v>1936</v>
      </c>
      <c r="N7" s="12"/>
      <c r="O7" s="29"/>
      <c r="P7" s="15"/>
      <c r="Q7" s="42" t="s">
        <v>98</v>
      </c>
      <c r="R7" s="11">
        <v>0.68</v>
      </c>
      <c r="S7" s="12">
        <v>0.67</v>
      </c>
      <c r="T7" s="12">
        <v>0.66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0.65</v>
      </c>
      <c r="C11" s="2">
        <v>0.76</v>
      </c>
      <c r="D11" s="2">
        <v>0.7</v>
      </c>
      <c r="E11" s="37">
        <v>192</v>
      </c>
      <c r="F11" s="19" t="s">
        <v>152</v>
      </c>
      <c r="G11" s="5">
        <v>0.61650970319634602</v>
      </c>
      <c r="H11" s="15"/>
      <c r="I11" s="40">
        <v>0</v>
      </c>
      <c r="J11" s="1">
        <v>0.68</v>
      </c>
      <c r="K11" s="2">
        <v>0.64</v>
      </c>
      <c r="L11" s="2">
        <v>0.66</v>
      </c>
      <c r="M11" s="37">
        <v>1076</v>
      </c>
      <c r="N11" s="19" t="s">
        <v>61</v>
      </c>
      <c r="O11" s="5">
        <v>0.63167848188813003</v>
      </c>
      <c r="P11" s="15"/>
      <c r="Q11" s="40">
        <v>0</v>
      </c>
      <c r="R11" s="1">
        <v>0.68</v>
      </c>
      <c r="S11" s="2">
        <v>0.56999999999999995</v>
      </c>
      <c r="T11" s="2">
        <v>0.62</v>
      </c>
      <c r="U11" s="37">
        <v>987</v>
      </c>
      <c r="V11" s="19" t="s">
        <v>79</v>
      </c>
      <c r="W11" s="5">
        <v>0.64990453417845095</v>
      </c>
    </row>
    <row r="12" spans="1:23" ht="20" customHeight="1" x14ac:dyDescent="0.15">
      <c r="A12" s="41">
        <v>1</v>
      </c>
      <c r="B12" s="3">
        <v>0.6</v>
      </c>
      <c r="C12" s="4">
        <v>0.47</v>
      </c>
      <c r="D12" s="4">
        <v>0.53</v>
      </c>
      <c r="E12" s="38">
        <v>146</v>
      </c>
      <c r="F12" s="4" t="s">
        <v>153</v>
      </c>
      <c r="G12" s="31"/>
      <c r="H12" s="15"/>
      <c r="I12" s="41">
        <v>1</v>
      </c>
      <c r="J12" s="3">
        <v>0.57999999999999996</v>
      </c>
      <c r="K12" s="4">
        <v>0.62</v>
      </c>
      <c r="L12" s="4">
        <v>0.6</v>
      </c>
      <c r="M12" s="38">
        <v>860</v>
      </c>
      <c r="N12" s="4" t="s">
        <v>62</v>
      </c>
      <c r="O12" s="31"/>
      <c r="P12" s="15"/>
      <c r="Q12" s="41">
        <v>1</v>
      </c>
      <c r="R12" s="3">
        <v>0.62</v>
      </c>
      <c r="S12" s="4">
        <v>0.73</v>
      </c>
      <c r="T12" s="4">
        <v>0.67</v>
      </c>
      <c r="U12" s="38">
        <v>961</v>
      </c>
      <c r="V12" s="4" t="s">
        <v>80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0.64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0.63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0.65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0.63</v>
      </c>
      <c r="C14" s="4">
        <v>0.62</v>
      </c>
      <c r="D14" s="4">
        <v>0.62</v>
      </c>
      <c r="E14" s="38">
        <v>338</v>
      </c>
      <c r="F14" s="4"/>
      <c r="G14" s="31"/>
      <c r="H14" s="15"/>
      <c r="I14" s="42" t="s">
        <v>97</v>
      </c>
      <c r="J14" s="3">
        <v>0.63</v>
      </c>
      <c r="K14" s="4">
        <v>0.63</v>
      </c>
      <c r="L14" s="4">
        <v>0.63</v>
      </c>
      <c r="M14" s="38">
        <v>1936</v>
      </c>
      <c r="N14" s="4"/>
      <c r="O14" s="31"/>
      <c r="P14" s="15"/>
      <c r="Q14" s="42" t="s">
        <v>97</v>
      </c>
      <c r="R14" s="3">
        <v>0.65</v>
      </c>
      <c r="S14" s="4">
        <v>0.65</v>
      </c>
      <c r="T14" s="4">
        <v>0.65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0.63</v>
      </c>
      <c r="C15" s="4">
        <v>0.64</v>
      </c>
      <c r="D15" s="4">
        <v>0.63</v>
      </c>
      <c r="E15" s="38">
        <v>338</v>
      </c>
      <c r="F15" s="4"/>
      <c r="G15" s="31"/>
      <c r="H15" s="15"/>
      <c r="I15" s="42" t="s">
        <v>98</v>
      </c>
      <c r="J15" s="3">
        <v>0.64</v>
      </c>
      <c r="K15" s="4">
        <v>0.63</v>
      </c>
      <c r="L15" s="4">
        <v>0.63</v>
      </c>
      <c r="M15" s="38">
        <v>1936</v>
      </c>
      <c r="N15" s="4"/>
      <c r="O15" s="31"/>
      <c r="P15" s="15"/>
      <c r="Q15" s="42" t="s">
        <v>98</v>
      </c>
      <c r="R15" s="3">
        <v>0.65</v>
      </c>
      <c r="S15" s="4">
        <v>0.65</v>
      </c>
      <c r="T15" s="4">
        <v>0.65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0.56999999999999995</v>
      </c>
      <c r="C19" s="2">
        <v>0.93</v>
      </c>
      <c r="D19" s="2">
        <v>0.71</v>
      </c>
      <c r="E19" s="37">
        <v>192</v>
      </c>
      <c r="F19" s="2" t="s">
        <v>154</v>
      </c>
      <c r="G19" s="5">
        <v>0.50724172374429199</v>
      </c>
      <c r="H19" s="15"/>
      <c r="I19" s="40">
        <v>0</v>
      </c>
      <c r="J19" s="1">
        <v>0.65</v>
      </c>
      <c r="K19" s="2">
        <v>0.64</v>
      </c>
      <c r="L19" s="2">
        <v>0.64</v>
      </c>
      <c r="M19" s="37">
        <v>1076</v>
      </c>
      <c r="N19" s="2" t="s">
        <v>63</v>
      </c>
      <c r="O19" s="5">
        <v>0.60389037779890997</v>
      </c>
      <c r="P19" s="15"/>
      <c r="Q19" s="40">
        <v>0</v>
      </c>
      <c r="R19" s="1">
        <v>0.65</v>
      </c>
      <c r="S19" s="2">
        <v>0.5</v>
      </c>
      <c r="T19" s="2">
        <v>0.56999999999999995</v>
      </c>
      <c r="U19" s="37">
        <v>987</v>
      </c>
      <c r="V19" s="2" t="s">
        <v>81</v>
      </c>
      <c r="W19" s="5">
        <v>0.61291007868154901</v>
      </c>
    </row>
    <row r="20" spans="1:23" ht="20" customHeight="1" x14ac:dyDescent="0.15">
      <c r="A20" s="41">
        <v>1</v>
      </c>
      <c r="B20" s="3">
        <v>0.48</v>
      </c>
      <c r="C20" s="4">
        <v>0.08</v>
      </c>
      <c r="D20" s="4">
        <v>0.14000000000000001</v>
      </c>
      <c r="E20" s="38">
        <v>146</v>
      </c>
      <c r="F20" s="4" t="s">
        <v>155</v>
      </c>
      <c r="G20" s="31"/>
      <c r="H20" s="15"/>
      <c r="I20" s="41">
        <v>1</v>
      </c>
      <c r="J20" s="3">
        <v>0.56000000000000005</v>
      </c>
      <c r="K20" s="4">
        <v>0.56999999999999995</v>
      </c>
      <c r="L20" s="4">
        <v>0.56000000000000005</v>
      </c>
      <c r="M20" s="38">
        <v>860</v>
      </c>
      <c r="N20" s="4" t="s">
        <v>64</v>
      </c>
      <c r="O20" s="31"/>
      <c r="P20" s="15"/>
      <c r="Q20" s="41">
        <v>1</v>
      </c>
      <c r="R20" s="3">
        <v>0.59</v>
      </c>
      <c r="S20" s="4">
        <v>0.73</v>
      </c>
      <c r="T20" s="4">
        <v>0.65</v>
      </c>
      <c r="U20" s="38">
        <v>961</v>
      </c>
      <c r="V20" s="4" t="s">
        <v>82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0.56999999999999995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0.61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0.61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0.53</v>
      </c>
      <c r="C22" s="4">
        <v>0.51</v>
      </c>
      <c r="D22" s="4">
        <v>0.42</v>
      </c>
      <c r="E22" s="38">
        <v>338</v>
      </c>
      <c r="F22" s="4"/>
      <c r="G22" s="31"/>
      <c r="H22" s="15"/>
      <c r="I22" s="42" t="s">
        <v>97</v>
      </c>
      <c r="J22" s="3">
        <v>0.6</v>
      </c>
      <c r="K22" s="4">
        <v>0.6</v>
      </c>
      <c r="L22" s="4">
        <v>0.6</v>
      </c>
      <c r="M22" s="38">
        <v>1936</v>
      </c>
      <c r="N22" s="4"/>
      <c r="O22" s="31"/>
      <c r="P22" s="15"/>
      <c r="Q22" s="42" t="s">
        <v>97</v>
      </c>
      <c r="R22" s="3">
        <v>0.62</v>
      </c>
      <c r="S22" s="4">
        <v>0.61</v>
      </c>
      <c r="T22" s="4">
        <v>0.61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0.53</v>
      </c>
      <c r="C23" s="4">
        <v>0.56999999999999995</v>
      </c>
      <c r="D23" s="4">
        <v>0.46</v>
      </c>
      <c r="E23" s="38">
        <v>338</v>
      </c>
      <c r="F23" s="4"/>
      <c r="G23" s="31"/>
      <c r="H23" s="15"/>
      <c r="I23" s="42" t="s">
        <v>98</v>
      </c>
      <c r="J23" s="3">
        <v>0.61</v>
      </c>
      <c r="K23" s="4">
        <v>0.61</v>
      </c>
      <c r="L23" s="4">
        <v>0.61</v>
      </c>
      <c r="M23" s="38">
        <v>1936</v>
      </c>
      <c r="N23" s="4"/>
      <c r="O23" s="31"/>
      <c r="P23" s="15"/>
      <c r="Q23" s="42" t="s">
        <v>98</v>
      </c>
      <c r="R23" s="3">
        <v>0.62</v>
      </c>
      <c r="S23" s="4">
        <v>0.61</v>
      </c>
      <c r="T23" s="4">
        <v>0.61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0.59</v>
      </c>
      <c r="C27" s="2">
        <v>0.71</v>
      </c>
      <c r="D27" s="2">
        <v>0.64</v>
      </c>
      <c r="E27" s="37">
        <v>163</v>
      </c>
      <c r="F27" s="2" t="s">
        <v>156</v>
      </c>
      <c r="G27" s="5">
        <v>0.624399649430324</v>
      </c>
      <c r="H27" s="15"/>
      <c r="I27" s="40">
        <v>0</v>
      </c>
      <c r="J27" s="1">
        <v>0.62</v>
      </c>
      <c r="K27" s="2">
        <v>0.57999999999999996</v>
      </c>
      <c r="L27" s="2">
        <v>0.6</v>
      </c>
      <c r="M27" s="37">
        <v>934</v>
      </c>
      <c r="N27" s="2" t="s">
        <v>65</v>
      </c>
      <c r="O27" s="5">
        <v>0.62394589835318603</v>
      </c>
      <c r="P27" s="15"/>
      <c r="Q27" s="40">
        <v>0</v>
      </c>
      <c r="R27" s="1">
        <v>0.69</v>
      </c>
      <c r="S27" s="2">
        <v>0.5</v>
      </c>
      <c r="T27" s="2">
        <v>0.57999999999999996</v>
      </c>
      <c r="U27" s="37">
        <v>808</v>
      </c>
      <c r="V27" s="2" t="s">
        <v>83</v>
      </c>
      <c r="W27" s="5">
        <v>0.67025360430779901</v>
      </c>
    </row>
    <row r="28" spans="1:23" ht="20" customHeight="1" x14ac:dyDescent="0.15">
      <c r="A28" s="41">
        <v>1</v>
      </c>
      <c r="B28" s="3">
        <v>0.67</v>
      </c>
      <c r="C28" s="4">
        <v>0.54</v>
      </c>
      <c r="D28" s="4">
        <v>0.59</v>
      </c>
      <c r="E28" s="38">
        <v>175</v>
      </c>
      <c r="F28" s="4" t="s">
        <v>157</v>
      </c>
      <c r="G28" s="31"/>
      <c r="H28" s="15"/>
      <c r="I28" s="41">
        <v>1</v>
      </c>
      <c r="J28" s="3">
        <v>0.63</v>
      </c>
      <c r="K28" s="4">
        <v>0.67</v>
      </c>
      <c r="L28" s="4">
        <v>0.65</v>
      </c>
      <c r="M28" s="38">
        <v>1002</v>
      </c>
      <c r="N28" s="4" t="s">
        <v>66</v>
      </c>
      <c r="O28" s="31"/>
      <c r="P28" s="15"/>
      <c r="Q28" s="41">
        <v>1</v>
      </c>
      <c r="R28" s="3">
        <v>0.7</v>
      </c>
      <c r="S28" s="4">
        <v>0.84</v>
      </c>
      <c r="T28" s="4">
        <v>0.77</v>
      </c>
      <c r="U28" s="38">
        <v>1140</v>
      </c>
      <c r="V28" s="4" t="s">
        <v>84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0.62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0.63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0.63</v>
      </c>
      <c r="C30" s="4">
        <v>0.62</v>
      </c>
      <c r="D30" s="4">
        <v>0.62</v>
      </c>
      <c r="E30" s="38">
        <v>338</v>
      </c>
      <c r="F30" s="4"/>
      <c r="G30" s="31"/>
      <c r="H30" s="15"/>
      <c r="I30" s="42" t="s">
        <v>97</v>
      </c>
      <c r="J30" s="3">
        <v>0.62</v>
      </c>
      <c r="K30" s="4">
        <v>0.62</v>
      </c>
      <c r="L30" s="4">
        <v>0.62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0.67</v>
      </c>
      <c r="T30" s="4">
        <v>0.67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0.63</v>
      </c>
      <c r="C31" s="4">
        <v>0.62</v>
      </c>
      <c r="D31" s="4">
        <v>0.62</v>
      </c>
      <c r="E31" s="38">
        <v>338</v>
      </c>
      <c r="F31" s="4"/>
      <c r="G31" s="31"/>
      <c r="H31" s="15"/>
      <c r="I31" s="42" t="s">
        <v>98</v>
      </c>
      <c r="J31" s="3">
        <v>0.63</v>
      </c>
      <c r="K31" s="4">
        <v>0.63</v>
      </c>
      <c r="L31" s="4">
        <v>0.62</v>
      </c>
      <c r="M31" s="38">
        <v>1936</v>
      </c>
      <c r="N31" s="4"/>
      <c r="O31" s="31"/>
      <c r="P31" s="15"/>
      <c r="Q31" s="42" t="s">
        <v>98</v>
      </c>
      <c r="R31" s="3">
        <v>0.7</v>
      </c>
      <c r="S31" s="4">
        <v>0.7</v>
      </c>
      <c r="T31" s="4">
        <v>0.69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0.56999999999999995</v>
      </c>
      <c r="C35" s="2">
        <v>0.74</v>
      </c>
      <c r="D35" s="2">
        <v>0.64</v>
      </c>
      <c r="E35" s="37">
        <v>163</v>
      </c>
      <c r="F35" s="2" t="s">
        <v>158</v>
      </c>
      <c r="G35" s="5">
        <v>0.60809815950920199</v>
      </c>
      <c r="H35" s="15"/>
      <c r="I35" s="40">
        <v>0</v>
      </c>
      <c r="J35" s="1">
        <v>0.6</v>
      </c>
      <c r="K35" s="2">
        <v>0.63</v>
      </c>
      <c r="L35" s="2">
        <v>0.62</v>
      </c>
      <c r="M35" s="37">
        <v>934</v>
      </c>
      <c r="N35" s="2" t="s">
        <v>67</v>
      </c>
      <c r="O35" s="5">
        <v>0.62023704197600504</v>
      </c>
      <c r="P35" s="15"/>
      <c r="Q35" s="40">
        <v>0</v>
      </c>
      <c r="R35" s="1">
        <v>0.63</v>
      </c>
      <c r="S35" s="2">
        <v>0.57999999999999996</v>
      </c>
      <c r="T35" s="2">
        <v>0.6</v>
      </c>
      <c r="U35" s="37">
        <v>808</v>
      </c>
      <c r="V35" s="2" t="s">
        <v>85</v>
      </c>
      <c r="W35" s="5">
        <v>0.66767413583463597</v>
      </c>
    </row>
    <row r="36" spans="1:23" ht="20" customHeight="1" x14ac:dyDescent="0.15">
      <c r="A36" s="41">
        <v>1</v>
      </c>
      <c r="B36" s="3">
        <v>0.66</v>
      </c>
      <c r="C36" s="4">
        <v>0.48</v>
      </c>
      <c r="D36" s="4">
        <v>0.56000000000000005</v>
      </c>
      <c r="E36" s="38">
        <v>175</v>
      </c>
      <c r="F36" s="4" t="s">
        <v>159</v>
      </c>
      <c r="G36" s="31"/>
      <c r="H36" s="15"/>
      <c r="I36" s="41">
        <v>1</v>
      </c>
      <c r="J36" s="3">
        <v>0.64</v>
      </c>
      <c r="K36" s="4">
        <v>0.61</v>
      </c>
      <c r="L36" s="4">
        <v>0.62</v>
      </c>
      <c r="M36" s="38">
        <v>1002</v>
      </c>
      <c r="N36" s="4" t="s">
        <v>68</v>
      </c>
      <c r="O36" s="31"/>
      <c r="P36" s="15"/>
      <c r="Q36" s="41">
        <v>1</v>
      </c>
      <c r="R36" s="3">
        <v>0.72</v>
      </c>
      <c r="S36" s="4">
        <v>0.76</v>
      </c>
      <c r="T36" s="4">
        <v>0.74</v>
      </c>
      <c r="U36" s="38">
        <v>1140</v>
      </c>
      <c r="V36" s="4" t="s">
        <v>86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0.6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0.62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0.68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0.62</v>
      </c>
      <c r="C38" s="4">
        <v>0.61</v>
      </c>
      <c r="D38" s="4">
        <v>0.6</v>
      </c>
      <c r="E38" s="38">
        <v>338</v>
      </c>
      <c r="F38" s="4"/>
      <c r="G38" s="31"/>
      <c r="H38" s="15"/>
      <c r="I38" s="42" t="s">
        <v>97</v>
      </c>
      <c r="J38" s="3">
        <v>0.62</v>
      </c>
      <c r="K38" s="4">
        <v>0.62</v>
      </c>
      <c r="L38" s="4">
        <v>0.62</v>
      </c>
      <c r="M38" s="38">
        <v>1936</v>
      </c>
      <c r="N38" s="4"/>
      <c r="O38" s="31"/>
      <c r="P38" s="15"/>
      <c r="Q38" s="42" t="s">
        <v>97</v>
      </c>
      <c r="R38" s="3">
        <v>0.67</v>
      </c>
      <c r="S38" s="4">
        <v>0.67</v>
      </c>
      <c r="T38" s="4">
        <v>0.67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0.62</v>
      </c>
      <c r="C39" s="4">
        <v>0.6</v>
      </c>
      <c r="D39" s="4">
        <v>0.6</v>
      </c>
      <c r="E39" s="38">
        <v>338</v>
      </c>
      <c r="F39" s="4"/>
      <c r="G39" s="31"/>
      <c r="H39" s="15"/>
      <c r="I39" s="42" t="s">
        <v>98</v>
      </c>
      <c r="J39" s="3">
        <v>0.62</v>
      </c>
      <c r="K39" s="4">
        <v>0.62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0.68</v>
      </c>
      <c r="S39" s="4">
        <v>0.68</v>
      </c>
      <c r="T39" s="4">
        <v>0.68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0.53</v>
      </c>
      <c r="C43" s="2">
        <v>0.61</v>
      </c>
      <c r="D43" s="2">
        <v>0.56999999999999995</v>
      </c>
      <c r="E43" s="37">
        <v>163</v>
      </c>
      <c r="F43" s="2" t="s">
        <v>160</v>
      </c>
      <c r="G43" s="5">
        <v>0.55246275197195405</v>
      </c>
      <c r="H43" s="15"/>
      <c r="I43" s="40">
        <v>0</v>
      </c>
      <c r="J43" s="1">
        <v>0.6</v>
      </c>
      <c r="K43" s="2">
        <v>0.5</v>
      </c>
      <c r="L43" s="2">
        <v>0.55000000000000004</v>
      </c>
      <c r="M43" s="37">
        <v>934</v>
      </c>
      <c r="N43" s="2" t="s">
        <v>69</v>
      </c>
      <c r="O43" s="5">
        <v>0.59295969089657896</v>
      </c>
      <c r="P43" s="15"/>
      <c r="Q43" s="40">
        <v>0</v>
      </c>
      <c r="R43" s="1">
        <v>0.66</v>
      </c>
      <c r="S43" s="2">
        <v>0.14000000000000001</v>
      </c>
      <c r="T43" s="2">
        <v>0.23</v>
      </c>
      <c r="U43" s="37">
        <v>808</v>
      </c>
      <c r="V43" s="2" t="s">
        <v>87</v>
      </c>
      <c r="W43" s="5">
        <v>0.54528617335417695</v>
      </c>
    </row>
    <row r="44" spans="1:23" ht="20" customHeight="1" x14ac:dyDescent="0.15">
      <c r="A44" s="41">
        <v>1</v>
      </c>
      <c r="B44" s="3">
        <v>0.57999999999999996</v>
      </c>
      <c r="C44" s="4">
        <v>0.49</v>
      </c>
      <c r="D44" s="4">
        <v>0.53</v>
      </c>
      <c r="E44" s="38">
        <v>175</v>
      </c>
      <c r="F44" s="4" t="s">
        <v>125</v>
      </c>
      <c r="G44" s="31"/>
      <c r="H44" s="15"/>
      <c r="I44" s="41">
        <v>1</v>
      </c>
      <c r="J44" s="3">
        <v>0.6</v>
      </c>
      <c r="K44" s="4">
        <v>0.68</v>
      </c>
      <c r="L44" s="4">
        <v>0.64</v>
      </c>
      <c r="M44" s="38">
        <v>1002</v>
      </c>
      <c r="N44" s="4" t="s">
        <v>70</v>
      </c>
      <c r="O44" s="31"/>
      <c r="P44" s="15"/>
      <c r="Q44" s="41">
        <v>1</v>
      </c>
      <c r="R44" s="3">
        <v>0.61</v>
      </c>
      <c r="S44" s="4">
        <v>0.95</v>
      </c>
      <c r="T44" s="4">
        <v>0.74</v>
      </c>
      <c r="U44" s="38">
        <v>1140</v>
      </c>
      <c r="V44" s="4" t="s">
        <v>88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0.55000000000000004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0.6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0.61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0.55000000000000004</v>
      </c>
      <c r="C46" s="4">
        <v>0.55000000000000004</v>
      </c>
      <c r="D46" s="4">
        <v>0.55000000000000004</v>
      </c>
      <c r="E46" s="38">
        <v>338</v>
      </c>
      <c r="F46" s="4"/>
      <c r="G46" s="31"/>
      <c r="H46" s="15"/>
      <c r="I46" s="42" t="s">
        <v>97</v>
      </c>
      <c r="J46" s="3">
        <v>0.6</v>
      </c>
      <c r="K46" s="4">
        <v>0.59</v>
      </c>
      <c r="L46" s="4">
        <v>0.59</v>
      </c>
      <c r="M46" s="38">
        <v>1936</v>
      </c>
      <c r="N46" s="4"/>
      <c r="O46" s="31"/>
      <c r="P46" s="15"/>
      <c r="Q46" s="42" t="s">
        <v>97</v>
      </c>
      <c r="R46" s="3">
        <v>0.64</v>
      </c>
      <c r="S46" s="4">
        <v>0.55000000000000004</v>
      </c>
      <c r="T46" s="4">
        <v>0.49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0.55000000000000004</v>
      </c>
      <c r="C47" s="4">
        <v>0.55000000000000004</v>
      </c>
      <c r="D47" s="4">
        <v>0.55000000000000004</v>
      </c>
      <c r="E47" s="38">
        <v>338</v>
      </c>
      <c r="F47" s="4"/>
      <c r="G47" s="31"/>
      <c r="H47" s="15"/>
      <c r="I47" s="42" t="s">
        <v>98</v>
      </c>
      <c r="J47" s="3">
        <v>0.6</v>
      </c>
      <c r="K47" s="4">
        <v>0.6</v>
      </c>
      <c r="L47" s="4">
        <v>0.59</v>
      </c>
      <c r="M47" s="38">
        <v>1936</v>
      </c>
      <c r="N47" s="4"/>
      <c r="O47" s="31"/>
      <c r="P47" s="15"/>
      <c r="Q47" s="42" t="s">
        <v>98</v>
      </c>
      <c r="R47" s="3">
        <v>0.63</v>
      </c>
      <c r="S47" s="4">
        <v>0.61</v>
      </c>
      <c r="T47" s="4">
        <v>0.53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0.62</v>
      </c>
      <c r="C51" s="2">
        <v>0.33</v>
      </c>
      <c r="D51" s="2">
        <v>0.43</v>
      </c>
      <c r="E51" s="37">
        <v>163</v>
      </c>
      <c r="F51" s="2" t="s">
        <v>161</v>
      </c>
      <c r="G51" s="5">
        <v>0.57114811568799295</v>
      </c>
      <c r="H51" s="15"/>
      <c r="I51" s="40">
        <v>0</v>
      </c>
      <c r="J51" s="1">
        <v>0.66</v>
      </c>
      <c r="K51" s="2">
        <v>0.33</v>
      </c>
      <c r="L51" s="2">
        <v>0.44</v>
      </c>
      <c r="M51" s="37">
        <v>915</v>
      </c>
      <c r="N51" s="2" t="s">
        <v>71</v>
      </c>
      <c r="O51" s="5">
        <v>0.58949759958895898</v>
      </c>
      <c r="P51" s="15"/>
      <c r="Q51" s="40">
        <v>0</v>
      </c>
      <c r="R51" s="1">
        <v>0.65</v>
      </c>
      <c r="S51" s="2">
        <v>0.37</v>
      </c>
      <c r="T51" s="2">
        <v>0.47</v>
      </c>
      <c r="U51" s="37">
        <v>881</v>
      </c>
      <c r="V51" s="2" t="s">
        <v>89</v>
      </c>
      <c r="W51" s="5">
        <v>0.60027265174298094</v>
      </c>
    </row>
    <row r="52" spans="1:23" ht="20" customHeight="1" x14ac:dyDescent="0.15">
      <c r="A52" s="41">
        <v>1</v>
      </c>
      <c r="B52" s="3">
        <v>0.56999999999999995</v>
      </c>
      <c r="C52" s="4">
        <v>0.82</v>
      </c>
      <c r="D52" s="4">
        <v>0.67</v>
      </c>
      <c r="E52" s="38">
        <v>175</v>
      </c>
      <c r="F52" s="4" t="s">
        <v>54</v>
      </c>
      <c r="G52" s="31"/>
      <c r="H52" s="15"/>
      <c r="I52" s="41">
        <v>1</v>
      </c>
      <c r="J52" s="3">
        <v>0.59</v>
      </c>
      <c r="K52" s="4">
        <v>0.85</v>
      </c>
      <c r="L52" s="4">
        <v>0.69</v>
      </c>
      <c r="M52" s="38">
        <v>1021</v>
      </c>
      <c r="N52" s="4" t="s">
        <v>72</v>
      </c>
      <c r="O52" s="31"/>
      <c r="P52" s="15"/>
      <c r="Q52" s="41">
        <v>1</v>
      </c>
      <c r="R52" s="3">
        <v>0.61</v>
      </c>
      <c r="S52" s="4">
        <v>0.84</v>
      </c>
      <c r="T52" s="4">
        <v>0.71</v>
      </c>
      <c r="U52" s="38">
        <v>1067</v>
      </c>
      <c r="V52" s="4" t="s">
        <v>90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0.57999999999999996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0.6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0.62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0.59</v>
      </c>
      <c r="C54" s="4">
        <v>0.56999999999999995</v>
      </c>
      <c r="D54" s="4">
        <v>0.55000000000000004</v>
      </c>
      <c r="E54" s="38">
        <v>338</v>
      </c>
      <c r="F54" s="4"/>
      <c r="G54" s="31"/>
      <c r="H54" s="15"/>
      <c r="I54" s="42" t="s">
        <v>97</v>
      </c>
      <c r="J54" s="3">
        <v>0.62</v>
      </c>
      <c r="K54" s="4">
        <v>0.59</v>
      </c>
      <c r="L54" s="4">
        <v>0.56999999999999995</v>
      </c>
      <c r="M54" s="38">
        <v>1936</v>
      </c>
      <c r="N54" s="4"/>
      <c r="O54" s="31"/>
      <c r="P54" s="15"/>
      <c r="Q54" s="42" t="s">
        <v>97</v>
      </c>
      <c r="R54" s="3">
        <v>0.63</v>
      </c>
      <c r="S54" s="4">
        <v>0.6</v>
      </c>
      <c r="T54" s="4">
        <v>0.59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0.59</v>
      </c>
      <c r="C55" s="4">
        <v>0.57999999999999996</v>
      </c>
      <c r="D55" s="4">
        <v>0.55000000000000004</v>
      </c>
      <c r="E55" s="38">
        <v>338</v>
      </c>
      <c r="F55" s="4"/>
      <c r="G55" s="31"/>
      <c r="H55" s="15"/>
      <c r="I55" s="42" t="s">
        <v>98</v>
      </c>
      <c r="J55" s="3">
        <v>0.62</v>
      </c>
      <c r="K55" s="4">
        <v>0.6</v>
      </c>
      <c r="L55" s="4">
        <v>0.56999999999999995</v>
      </c>
      <c r="M55" s="38">
        <v>1936</v>
      </c>
      <c r="N55" s="4"/>
      <c r="O55" s="31"/>
      <c r="P55" s="15"/>
      <c r="Q55" s="42" t="s">
        <v>98</v>
      </c>
      <c r="R55" s="3">
        <v>0.63</v>
      </c>
      <c r="S55" s="4">
        <v>0.62</v>
      </c>
      <c r="T55" s="4">
        <v>0.6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0.56999999999999995</v>
      </c>
      <c r="C59" s="2">
        <v>0.48</v>
      </c>
      <c r="D59" s="2">
        <v>0.52</v>
      </c>
      <c r="E59" s="37">
        <v>163</v>
      </c>
      <c r="F59" s="2" t="s">
        <v>162</v>
      </c>
      <c r="G59" s="5">
        <v>0.57375985977212896</v>
      </c>
      <c r="H59" s="15"/>
      <c r="I59" s="40">
        <v>0</v>
      </c>
      <c r="J59" s="1">
        <v>0.6</v>
      </c>
      <c r="K59" s="2">
        <v>0.44</v>
      </c>
      <c r="L59" s="2">
        <v>0.51</v>
      </c>
      <c r="M59" s="37">
        <v>915</v>
      </c>
      <c r="N59" s="2" t="s">
        <v>73</v>
      </c>
      <c r="O59" s="5">
        <v>0.58837152047440899</v>
      </c>
      <c r="P59" s="15"/>
      <c r="Q59" s="40">
        <v>0</v>
      </c>
      <c r="R59" s="1">
        <v>0.62</v>
      </c>
      <c r="S59" s="2">
        <v>0.38</v>
      </c>
      <c r="T59" s="2">
        <v>0.47</v>
      </c>
      <c r="U59" s="37">
        <v>881</v>
      </c>
      <c r="V59" s="2" t="s">
        <v>91</v>
      </c>
      <c r="W59" s="5">
        <v>0.59319679115599799</v>
      </c>
    </row>
    <row r="60" spans="1:23" ht="20" customHeight="1" x14ac:dyDescent="0.15">
      <c r="A60" s="41">
        <v>1</v>
      </c>
      <c r="B60" s="3">
        <v>0.57999999999999996</v>
      </c>
      <c r="C60" s="4">
        <v>0.66</v>
      </c>
      <c r="D60" s="4">
        <v>0.62</v>
      </c>
      <c r="E60" s="38">
        <v>175</v>
      </c>
      <c r="F60" s="4" t="s">
        <v>163</v>
      </c>
      <c r="G60" s="31"/>
      <c r="H60" s="15"/>
      <c r="I60" s="41">
        <v>1</v>
      </c>
      <c r="J60" s="3">
        <v>0.59</v>
      </c>
      <c r="K60" s="4">
        <v>0.74</v>
      </c>
      <c r="L60" s="4">
        <v>0.66</v>
      </c>
      <c r="M60" s="38">
        <v>1021</v>
      </c>
      <c r="N60" s="4" t="s">
        <v>74</v>
      </c>
      <c r="O60" s="31"/>
      <c r="P60" s="15"/>
      <c r="Q60" s="41">
        <v>1</v>
      </c>
      <c r="R60" s="3">
        <v>0.61</v>
      </c>
      <c r="S60" s="4">
        <v>0.81</v>
      </c>
      <c r="T60" s="4">
        <v>0.7</v>
      </c>
      <c r="U60" s="38">
        <v>1067</v>
      </c>
      <c r="V60" s="4" t="s">
        <v>92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0.57999999999999996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0.6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0.61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0.57999999999999996</v>
      </c>
      <c r="C62" s="4">
        <v>0.56999999999999995</v>
      </c>
      <c r="D62" s="4">
        <v>0.56999999999999995</v>
      </c>
      <c r="E62" s="38">
        <v>338</v>
      </c>
      <c r="F62" s="4"/>
      <c r="G62" s="31"/>
      <c r="H62" s="15"/>
      <c r="I62" s="42" t="s">
        <v>97</v>
      </c>
      <c r="J62" s="3">
        <v>0.6</v>
      </c>
      <c r="K62" s="4">
        <v>0.59</v>
      </c>
      <c r="L62" s="4">
        <v>0.57999999999999996</v>
      </c>
      <c r="M62" s="38">
        <v>1936</v>
      </c>
      <c r="N62" s="4"/>
      <c r="O62" s="31"/>
      <c r="P62" s="15"/>
      <c r="Q62" s="42" t="s">
        <v>97</v>
      </c>
      <c r="R62" s="3">
        <v>0.62</v>
      </c>
      <c r="S62" s="4">
        <v>0.59</v>
      </c>
      <c r="T62" s="4">
        <v>0.57999999999999996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0.57999999999999996</v>
      </c>
      <c r="C63" s="4">
        <v>0.57999999999999996</v>
      </c>
      <c r="D63" s="4">
        <v>0.56999999999999995</v>
      </c>
      <c r="E63" s="38">
        <v>338</v>
      </c>
      <c r="F63" s="4"/>
      <c r="G63" s="31"/>
      <c r="H63" s="15"/>
      <c r="I63" s="42" t="s">
        <v>98</v>
      </c>
      <c r="J63" s="3">
        <v>0.6</v>
      </c>
      <c r="K63" s="4">
        <v>0.6</v>
      </c>
      <c r="L63" s="4">
        <v>0.59</v>
      </c>
      <c r="M63" s="38">
        <v>1936</v>
      </c>
      <c r="N63" s="4"/>
      <c r="O63" s="31"/>
      <c r="P63" s="15"/>
      <c r="Q63" s="42" t="s">
        <v>98</v>
      </c>
      <c r="R63" s="3">
        <v>0.62</v>
      </c>
      <c r="S63" s="4">
        <v>0.61</v>
      </c>
      <c r="T63" s="4">
        <v>0.59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0.51</v>
      </c>
      <c r="C67" s="2">
        <v>0.47</v>
      </c>
      <c r="D67" s="2">
        <v>0.49</v>
      </c>
      <c r="E67" s="37">
        <v>163</v>
      </c>
      <c r="F67" s="2" t="s">
        <v>164</v>
      </c>
      <c r="G67" s="5">
        <v>0.52741454864154202</v>
      </c>
      <c r="H67" s="15"/>
      <c r="I67" s="40">
        <v>0</v>
      </c>
      <c r="J67" s="1">
        <v>0.52</v>
      </c>
      <c r="K67" s="2">
        <v>0.77</v>
      </c>
      <c r="L67" s="2">
        <v>0.62</v>
      </c>
      <c r="M67" s="37">
        <v>915</v>
      </c>
      <c r="N67" s="2" t="s">
        <v>75</v>
      </c>
      <c r="O67" s="5">
        <v>0.56888938841701298</v>
      </c>
      <c r="P67" s="15"/>
      <c r="Q67" s="40">
        <v>0</v>
      </c>
      <c r="R67" s="1">
        <v>0.5</v>
      </c>
      <c r="S67" s="2">
        <v>0.82</v>
      </c>
      <c r="T67" s="2">
        <v>0.62</v>
      </c>
      <c r="U67" s="37">
        <v>881</v>
      </c>
      <c r="V67" s="2" t="s">
        <v>93</v>
      </c>
      <c r="W67" s="5">
        <v>0.576756305935893</v>
      </c>
    </row>
    <row r="68" spans="1:23" ht="20" customHeight="1" x14ac:dyDescent="0.15">
      <c r="A68" s="41">
        <v>1</v>
      </c>
      <c r="B68" s="3">
        <v>0.54</v>
      </c>
      <c r="C68" s="4">
        <v>0.59</v>
      </c>
      <c r="D68" s="4">
        <v>0.56000000000000005</v>
      </c>
      <c r="E68" s="38">
        <v>175</v>
      </c>
      <c r="F68" s="4" t="s">
        <v>165</v>
      </c>
      <c r="G68" s="31"/>
      <c r="H68" s="15"/>
      <c r="I68" s="41">
        <v>1</v>
      </c>
      <c r="J68" s="3">
        <v>0.64</v>
      </c>
      <c r="K68" s="4">
        <v>0.37</v>
      </c>
      <c r="L68" s="4">
        <v>0.47</v>
      </c>
      <c r="M68" s="38">
        <v>1021</v>
      </c>
      <c r="N68" s="4" t="s">
        <v>76</v>
      </c>
      <c r="O68" s="31"/>
      <c r="P68" s="15"/>
      <c r="Q68" s="41">
        <v>1</v>
      </c>
      <c r="R68" s="3">
        <v>0.69</v>
      </c>
      <c r="S68" s="4">
        <v>0.34</v>
      </c>
      <c r="T68" s="4">
        <v>0.45</v>
      </c>
      <c r="U68" s="38">
        <v>1067</v>
      </c>
      <c r="V68" s="4" t="s">
        <v>94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0.53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0.56000000000000005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0.55000000000000004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0.53</v>
      </c>
      <c r="C70" s="4">
        <v>0.53</v>
      </c>
      <c r="D70" s="4">
        <v>0.53</v>
      </c>
      <c r="E70" s="38">
        <v>338</v>
      </c>
      <c r="F70" s="4"/>
      <c r="G70" s="31"/>
      <c r="H70" s="15"/>
      <c r="I70" s="42" t="s">
        <v>97</v>
      </c>
      <c r="J70" s="3">
        <v>0.57999999999999996</v>
      </c>
      <c r="K70" s="4">
        <v>0.56999999999999995</v>
      </c>
      <c r="L70" s="4">
        <v>0.54</v>
      </c>
      <c r="M70" s="38">
        <v>1936</v>
      </c>
      <c r="N70" s="4"/>
      <c r="O70" s="31"/>
      <c r="P70" s="15"/>
      <c r="Q70" s="42" t="s">
        <v>97</v>
      </c>
      <c r="R70" s="3">
        <v>0.6</v>
      </c>
      <c r="S70" s="4">
        <v>0.57999999999999996</v>
      </c>
      <c r="T70" s="4">
        <v>0.54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0.53</v>
      </c>
      <c r="C71" s="4">
        <v>0.53</v>
      </c>
      <c r="D71" s="4">
        <v>0.53</v>
      </c>
      <c r="E71" s="38">
        <v>338</v>
      </c>
      <c r="F71" s="4"/>
      <c r="G71" s="31"/>
      <c r="H71" s="20"/>
      <c r="I71" s="42" t="s">
        <v>98</v>
      </c>
      <c r="J71" s="3">
        <v>0.57999999999999996</v>
      </c>
      <c r="K71" s="4">
        <v>0.56000000000000005</v>
      </c>
      <c r="L71" s="4">
        <v>0.54</v>
      </c>
      <c r="M71" s="38">
        <v>1936</v>
      </c>
      <c r="N71" s="4"/>
      <c r="O71" s="31"/>
      <c r="P71" s="20"/>
      <c r="Q71" s="42" t="s">
        <v>98</v>
      </c>
      <c r="R71" s="3">
        <v>0.61</v>
      </c>
      <c r="S71" s="4">
        <v>0.55000000000000004</v>
      </c>
      <c r="T71" s="4">
        <v>0.53</v>
      </c>
      <c r="U71" s="38">
        <v>1948</v>
      </c>
      <c r="V71" s="4"/>
      <c r="W71" s="31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4860-6F1F-BA45-B4E6-FDCD8DE84079}">
  <dimension ref="A1:G57"/>
  <sheetViews>
    <sheetView tabSelected="1" zoomScale="75" workbookViewId="0">
      <selection activeCell="G29" sqref="G29"/>
    </sheetView>
  </sheetViews>
  <sheetFormatPr baseColWidth="10" defaultRowHeight="13" x14ac:dyDescent="0.15"/>
  <cols>
    <col min="2" max="2" width="21.6640625" style="32" customWidth="1"/>
    <col min="3" max="3" width="21.1640625" customWidth="1"/>
    <col min="4" max="6" width="21.6640625" customWidth="1"/>
    <col min="7" max="7" width="21" customWidth="1"/>
  </cols>
  <sheetData>
    <row r="1" spans="1:7" ht="14" x14ac:dyDescent="0.15">
      <c r="A1" s="6" t="s">
        <v>39</v>
      </c>
      <c r="B1" s="26" t="s">
        <v>33</v>
      </c>
      <c r="C1" s="26"/>
      <c r="D1" s="26" t="s">
        <v>34</v>
      </c>
      <c r="E1" s="26"/>
      <c r="F1" s="26" t="s">
        <v>35</v>
      </c>
      <c r="G1" s="26"/>
    </row>
    <row r="2" spans="1:7" ht="14" customHeight="1" x14ac:dyDescent="0.15">
      <c r="A2" s="9" t="s">
        <v>36</v>
      </c>
      <c r="B2" s="44">
        <f>MAX('zero (1995-2023)'!G3,'zero (1995-2023)'!G11,'zero (1995-2023)'!G19,'mean (1995-2023)'!G3,'mean (1995-2023)'!G11,'mean (1995-2023)'!G19,'median (1995-2023)'!G3,'median (1995-2023)'!G11,'median (1995-2023)'!G19)</f>
        <v>0.68154252283104999</v>
      </c>
      <c r="C2" s="9" t="s">
        <v>168</v>
      </c>
      <c r="D2" s="44">
        <f>MAX('zero (1995-2023)'!G27,'zero (1995-2023)'!G35,'zero (1995-2023)'!G43,'mean (1995-2023)'!G27,'mean (1995-2023)'!G35,'mean (1995-2023)'!G43,'median (1995-2023)'!G27,'median (1995-2023)'!G35,'median (1995-2023)'!G43)</f>
        <v>0.63236531986531896</v>
      </c>
      <c r="E2" s="9" t="s">
        <v>168</v>
      </c>
      <c r="F2" s="44">
        <f>MAX('zero (1995-2023)'!G51,'zero (1995-2023)'!G59,'zero (1995-2023)'!G67,'mean (1995-2023)'!G51,'mean (1995-2023)'!G59,'mean (1995-2023)'!G66,'median (1995-2023)'!G51,'median (1995-2023)'!G59,'median (1995-2023)'!G67)</f>
        <v>0.58669588080630997</v>
      </c>
      <c r="G2" s="9" t="s">
        <v>170</v>
      </c>
    </row>
    <row r="3" spans="1:7" ht="14" x14ac:dyDescent="0.15">
      <c r="A3" s="9" t="s">
        <v>37</v>
      </c>
      <c r="B3" s="44">
        <f>MAX('zero (1995-2023)'!O3,'zero (1995-2023)'!O11,'zero (1995-2023)'!O19,'mean (1995-2023)'!O3,'mean (1995-2023)'!O11,'mean (1995-2023)'!O19,'median (1995-2023)'!O3,'median (1995-2023)'!O11,'median (1995-2023)'!O19)</f>
        <v>0.63929935445533803</v>
      </c>
      <c r="C3" s="9" t="s">
        <v>169</v>
      </c>
      <c r="D3" s="44">
        <f>MAX('zero (1995-2023)'!O27,'zero (1995-2023)'!O35,'zero (1995-2023)'!O43,'mean (1995-2023)'!O27,'mean (1995-2023)'!O35,'mean (1995-2023)'!O43,'median (1995-2023)'!O27,'median (1995-2023)'!O35,'median (1995-2023)'!O43)</f>
        <v>0.62697707025973304</v>
      </c>
      <c r="E3" s="9" t="s">
        <v>170</v>
      </c>
      <c r="F3" s="44">
        <f>MAX('zero (1995-2023)'!O51,'zero (1995-2023)'!O59,'zero (1995-2023)'!O67,'mean (1995-2023)'!O51,'mean (1995-2023)'!O59,'mean (1995-2023)'!O66,'median (1995-2023)'!O51,'median (1995-2023)'!O59,'median (1995-2023)'!O67)</f>
        <v>0.58993325947453201</v>
      </c>
      <c r="G3" s="9" t="s">
        <v>169</v>
      </c>
    </row>
    <row r="4" spans="1:7" ht="14" x14ac:dyDescent="0.15">
      <c r="A4" s="9" t="s">
        <v>38</v>
      </c>
      <c r="B4" s="44">
        <f>MAX('zero (1995-2023)'!W3,'zero (1995-2023)'!W11,'zero (1995-2023)'!W19,'mean (1995-2023)'!W3,'mean (1995-2023)'!W11,'mean (1995-2023)'!W19,'median (1995-2023)'!W3,'median (1995-2023)'!W11,'median (1995-2023)'!W19)</f>
        <v>0.67059336409747095</v>
      </c>
      <c r="C4" s="9" t="s">
        <v>170</v>
      </c>
      <c r="D4" s="44">
        <f>MAX('zero (1995-2023)'!W27,'zero (1995-2023)'!W35,'zero (1995-2023)'!W43,'mean (1995-2023)'!W27,'mean (1995-2023)'!W35,'mean (1995-2023)'!W43,'median (1995-2023)'!W27,'median (1995-2023)'!W35,'median (1995-2023)'!W43)</f>
        <v>0.68586647573173598</v>
      </c>
      <c r="E4" s="9" t="s">
        <v>170</v>
      </c>
      <c r="F4" s="44">
        <f>MAX('zero (1995-2023)'!W51,'zero (1995-2023)'!W59,'zero (1995-2023)'!W67,'mean (1995-2023)'!W51,'mean (1995-2023)'!W59,'mean (1995-2023)'!W66,'median (1995-2023)'!W51,'median (1995-2023)'!W59,'median (1995-2023)'!W67)</f>
        <v>0.60635917904485703</v>
      </c>
      <c r="G4" s="9" t="s">
        <v>170</v>
      </c>
    </row>
    <row r="6" spans="1:7" ht="14" x14ac:dyDescent="0.15">
      <c r="A6" s="6" t="s">
        <v>40</v>
      </c>
      <c r="B6" s="26" t="s">
        <v>33</v>
      </c>
      <c r="C6" s="26"/>
      <c r="D6" s="26" t="s">
        <v>34</v>
      </c>
      <c r="E6" s="26"/>
      <c r="F6" s="26" t="s">
        <v>35</v>
      </c>
      <c r="G6" s="26"/>
    </row>
    <row r="7" spans="1:7" ht="14" x14ac:dyDescent="0.15">
      <c r="A7" s="9" t="s">
        <v>36</v>
      </c>
      <c r="B7" s="8">
        <f>MAX('zero (1995-2023)'!D5,'zero (1995-2023)'!D13,'zero (1995-2023)'!D21,'mean (1995-2023)'!D5,'mean (1995-2023)'!D13,'mean (1995-2023)'!D21,'median (1995-2023)'!D5,'median (1995-2023)'!D13,'median (1995-2023)'!D21)</f>
        <v>0.67</v>
      </c>
      <c r="C7" s="9" t="s">
        <v>168</v>
      </c>
      <c r="D7" s="8">
        <f>MAX('zero (1995-2023)'!D29,'zero (1995-2023)'!D37,'zero (1995-2023)'!D45,'mean (1995-2023)'!D29,'mean (1995-2023)'!D37,'mean (1995-2023)'!D45,'median (1995-2023)'!D29,'median (1995-2023)'!D37,'median (1995-2023)'!D45)</f>
        <v>0.63</v>
      </c>
      <c r="E7" s="9" t="s">
        <v>172</v>
      </c>
      <c r="F7" s="8">
        <f>MAX('zero (1995-2023)'!D53,'zero (1995-2023)'!D61,'zero (1995-2023)'!D69,'mean (1995-2023)'!D53,'mean (1995-2023)'!D61,'mean (1995-2023)'!D69,'median (1995-2023)'!D53,'median (1995-2023)'!D61,'median (1995-2023)'!D69)</f>
        <v>0.59</v>
      </c>
      <c r="G7" s="9" t="s">
        <v>170</v>
      </c>
    </row>
    <row r="8" spans="1:7" ht="28" x14ac:dyDescent="0.15">
      <c r="A8" s="9" t="s">
        <v>37</v>
      </c>
      <c r="B8" s="8">
        <f>MAX('zero (1995-2023)'!L5,'zero (1995-2023)'!L13,'zero (1995-2023)'!L21,'mean (1995-2023)'!L5,'mean (1995-2023)'!L13,'mean (1995-2023)'!L21,'median (1995-2023)'!L5,'median (1995-2023)'!L13,'median (1995-2023)'!L21)</f>
        <v>0.64</v>
      </c>
      <c r="C8" s="9" t="s">
        <v>171</v>
      </c>
      <c r="D8" s="8">
        <f>MAX('zero (1995-2023)'!L29,'zero (1995-2023)'!L37,'zero (1995-2023)'!L45,'mean (1995-2023)'!L29,'mean (1995-2023)'!L37,'mean (1995-2023)'!L45,'median (1995-2023)'!L29,'median (1995-2023)'!L37,'median (1995-2023)'!L45)</f>
        <v>0.63</v>
      </c>
      <c r="E8" s="9" t="s">
        <v>99</v>
      </c>
      <c r="F8" s="8">
        <f>MAX('zero (1995-2023)'!L53,'zero (1995-2023)'!L61,'zero (1995-2023)'!L69,'mean (1995-2023)'!L53,'mean (1995-2023)'!L61,'mean (1995-2023)'!L69,'median (1995-2023)'!L53,'median (1995-2023)'!L61,'median (1995-2023)'!L69)</f>
        <v>0.6</v>
      </c>
      <c r="G8" s="9" t="s">
        <v>173</v>
      </c>
    </row>
    <row r="9" spans="1:7" ht="14" customHeight="1" x14ac:dyDescent="0.15">
      <c r="A9" s="9" t="s">
        <v>38</v>
      </c>
      <c r="B9" s="8">
        <f>MAX('zero (1995-2023)'!T5,'zero (1995-2023)'!T13,'zero (1995-2023)'!T21,'mean (1995-2023)'!T5,'mean (1995-2023)'!T13,'mean (1995-2023)'!T21,'median (1995-2023)'!T5,'median (1995-2023)'!T13,'median (1995-2023)'!T21)</f>
        <v>0.67</v>
      </c>
      <c r="C9" s="9" t="s">
        <v>99</v>
      </c>
      <c r="D9" s="8">
        <f>MAX('zero (1995-2023)'!T29,'zero (1995-2023)'!T37,'zero (1995-2023)'!T45,'mean (1995-2023)'!T29,'mean (1995-2023)'!T37,'mean (1995-2023)'!T45,'median (1995-2023)'!T29,'median (1995-2023)'!T37,'median (1995-2023)'!T45)</f>
        <v>0.71</v>
      </c>
      <c r="E9" s="9" t="s">
        <v>170</v>
      </c>
      <c r="F9" s="8">
        <f>MAX('zero (1995-2023)'!T53,'zero (1995-2023)'!T61,'zero (1995-2023)'!T69,'mean (1995-2023)'!T53,'mean (1995-2023)'!T61,'mean (1995-2023)'!T69,'median (1995-2023)'!T53,'median (1995-2023)'!T61,'median (1995-2023)'!T69)</f>
        <v>0.63</v>
      </c>
      <c r="G9" s="9" t="s">
        <v>170</v>
      </c>
    </row>
    <row r="12" spans="1:7" x14ac:dyDescent="0.15">
      <c r="B12"/>
    </row>
    <row r="13" spans="1:7" x14ac:dyDescent="0.15">
      <c r="B13"/>
    </row>
    <row r="14" spans="1:7" x14ac:dyDescent="0.15">
      <c r="B14"/>
    </row>
    <row r="15" spans="1:7" x14ac:dyDescent="0.15">
      <c r="B15"/>
    </row>
    <row r="16" spans="1:7" x14ac:dyDescent="0.15">
      <c r="B16"/>
    </row>
    <row r="17" spans="2:2" x14ac:dyDescent="0.15">
      <c r="B17"/>
    </row>
    <row r="18" spans="2:2" x14ac:dyDescent="0.15">
      <c r="B18"/>
    </row>
    <row r="19" spans="2:2" x14ac:dyDescent="0.15">
      <c r="B19"/>
    </row>
    <row r="20" spans="2:2" x14ac:dyDescent="0.15">
      <c r="B20"/>
    </row>
    <row r="21" spans="2:2" x14ac:dyDescent="0.15">
      <c r="B21"/>
    </row>
    <row r="22" spans="2:2" x14ac:dyDescent="0.15">
      <c r="B22"/>
    </row>
    <row r="23" spans="2:2" x14ac:dyDescent="0.15">
      <c r="B23"/>
    </row>
    <row r="24" spans="2:2" x14ac:dyDescent="0.15">
      <c r="B24"/>
    </row>
    <row r="25" spans="2:2" x14ac:dyDescent="0.15">
      <c r="B25"/>
    </row>
    <row r="51" spans="5:5" x14ac:dyDescent="0.15">
      <c r="E51" s="32"/>
    </row>
    <row r="52" spans="5:5" x14ac:dyDescent="0.15">
      <c r="E52" s="32"/>
    </row>
    <row r="53" spans="5:5" x14ac:dyDescent="0.15">
      <c r="E53" s="32"/>
    </row>
    <row r="54" spans="5:5" x14ac:dyDescent="0.15">
      <c r="E54" s="32"/>
    </row>
    <row r="55" spans="5:5" x14ac:dyDescent="0.15">
      <c r="E55" s="32"/>
    </row>
    <row r="56" spans="5:5" x14ac:dyDescent="0.15">
      <c r="E56" s="32"/>
    </row>
    <row r="57" spans="5:5" x14ac:dyDescent="0.15">
      <c r="E57" s="32"/>
    </row>
  </sheetData>
  <mergeCells count="6">
    <mergeCell ref="B1:C1"/>
    <mergeCell ref="D1:E1"/>
    <mergeCell ref="F1:G1"/>
    <mergeCell ref="B6:C6"/>
    <mergeCell ref="D6:E6"/>
    <mergeCell ref="F6:G6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71"/>
  <sheetViews>
    <sheetView showGridLines="0" topLeftCell="O46" workbookViewId="0">
      <selection activeCell="T53" sqref="T53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0.71</v>
      </c>
      <c r="C3" s="16">
        <v>0.64</v>
      </c>
      <c r="D3" s="16">
        <v>0.67</v>
      </c>
      <c r="E3" s="34">
        <v>192</v>
      </c>
      <c r="F3" s="16" t="s">
        <v>174</v>
      </c>
      <c r="G3" s="28">
        <v>0.643050799086758</v>
      </c>
      <c r="H3" s="15"/>
      <c r="I3" s="40">
        <v>0</v>
      </c>
      <c r="J3" s="10">
        <v>0.68</v>
      </c>
      <c r="K3" s="16">
        <v>0.62</v>
      </c>
      <c r="L3" s="16">
        <v>0.65</v>
      </c>
      <c r="M3" s="34">
        <v>1076</v>
      </c>
      <c r="N3" s="16" t="s">
        <v>191</v>
      </c>
      <c r="O3" s="28">
        <v>0.63098902048932304</v>
      </c>
      <c r="P3" s="15"/>
      <c r="Q3" s="40">
        <v>0</v>
      </c>
      <c r="R3" s="10">
        <v>0.73</v>
      </c>
      <c r="S3" s="16">
        <v>0.55000000000000004</v>
      </c>
      <c r="T3" s="16">
        <v>0.63</v>
      </c>
      <c r="U3" s="34">
        <v>987</v>
      </c>
      <c r="V3" s="16" t="s">
        <v>209</v>
      </c>
      <c r="W3" s="28">
        <v>0.668909138256228</v>
      </c>
    </row>
    <row r="4" spans="1:23" ht="20" customHeight="1" x14ac:dyDescent="0.15">
      <c r="A4" s="41">
        <v>1</v>
      </c>
      <c r="B4" s="11">
        <v>0.57999999999999996</v>
      </c>
      <c r="C4" s="12">
        <v>0.65</v>
      </c>
      <c r="D4" s="12">
        <v>0.61</v>
      </c>
      <c r="E4" s="35">
        <v>146</v>
      </c>
      <c r="F4" s="12" t="s">
        <v>175</v>
      </c>
      <c r="G4" s="29"/>
      <c r="H4" s="15"/>
      <c r="I4" s="41">
        <v>1</v>
      </c>
      <c r="J4" s="11">
        <v>0.57999999999999996</v>
      </c>
      <c r="K4" s="12">
        <v>0.64</v>
      </c>
      <c r="L4" s="12">
        <v>0.61</v>
      </c>
      <c r="M4" s="35">
        <v>860</v>
      </c>
      <c r="N4" s="12" t="s">
        <v>192</v>
      </c>
      <c r="O4" s="29"/>
      <c r="P4" s="15"/>
      <c r="Q4" s="41">
        <v>1</v>
      </c>
      <c r="R4" s="11">
        <v>0.63</v>
      </c>
      <c r="S4" s="12">
        <v>0.79</v>
      </c>
      <c r="T4" s="12">
        <v>0.7</v>
      </c>
      <c r="U4" s="35">
        <v>961</v>
      </c>
      <c r="V4" s="12" t="s">
        <v>210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0.64</v>
      </c>
      <c r="E5" s="35">
        <v>338</v>
      </c>
      <c r="F5" s="12"/>
      <c r="G5" s="29"/>
      <c r="H5" s="15"/>
      <c r="I5" s="42" t="s">
        <v>95</v>
      </c>
      <c r="J5" s="11" t="s">
        <v>96</v>
      </c>
      <c r="K5" s="12" t="s">
        <v>96</v>
      </c>
      <c r="L5" s="21">
        <v>0.63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0.64</v>
      </c>
      <c r="C6" s="12">
        <v>0.64</v>
      </c>
      <c r="D6" s="12">
        <v>0.64</v>
      </c>
      <c r="E6" s="35">
        <v>338</v>
      </c>
      <c r="F6" s="12"/>
      <c r="G6" s="29"/>
      <c r="H6" s="15"/>
      <c r="I6" s="42" t="s">
        <v>97</v>
      </c>
      <c r="J6" s="11">
        <v>0.63</v>
      </c>
      <c r="K6" s="12">
        <v>0.63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0.68</v>
      </c>
      <c r="S6" s="12">
        <v>0.67</v>
      </c>
      <c r="T6" s="12">
        <v>0.66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0.65</v>
      </c>
      <c r="C7" s="12">
        <v>0.64</v>
      </c>
      <c r="D7" s="12">
        <v>0.64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0.63</v>
      </c>
      <c r="L7" s="12">
        <v>0.63</v>
      </c>
      <c r="M7" s="35">
        <v>1936</v>
      </c>
      <c r="N7" s="12"/>
      <c r="O7" s="29"/>
      <c r="P7" s="15"/>
      <c r="Q7" s="42" t="s">
        <v>98</v>
      </c>
      <c r="R7" s="11">
        <v>0.68</v>
      </c>
      <c r="S7" s="12">
        <v>0.67</v>
      </c>
      <c r="T7" s="12">
        <v>0.66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0.68</v>
      </c>
      <c r="C11" s="2">
        <v>0.73</v>
      </c>
      <c r="D11" s="2">
        <v>0.7</v>
      </c>
      <c r="E11" s="37">
        <v>192</v>
      </c>
      <c r="F11" s="19" t="s">
        <v>176</v>
      </c>
      <c r="G11" s="5">
        <v>0.63773544520547898</v>
      </c>
      <c r="H11" s="15"/>
      <c r="I11" s="40">
        <v>0</v>
      </c>
      <c r="J11" s="1">
        <v>0.68</v>
      </c>
      <c r="K11" s="2">
        <v>0.65</v>
      </c>
      <c r="L11" s="2">
        <v>0.67</v>
      </c>
      <c r="M11" s="37">
        <v>1076</v>
      </c>
      <c r="N11" s="19" t="s">
        <v>193</v>
      </c>
      <c r="O11" s="5">
        <v>0.63620861070286105</v>
      </c>
      <c r="P11" s="15"/>
      <c r="Q11" s="40">
        <v>0</v>
      </c>
      <c r="R11" s="1">
        <v>0.69</v>
      </c>
      <c r="S11" s="2">
        <v>0.57999999999999996</v>
      </c>
      <c r="T11" s="2">
        <v>0.63</v>
      </c>
      <c r="U11" s="37">
        <v>987</v>
      </c>
      <c r="V11" s="19" t="s">
        <v>211</v>
      </c>
      <c r="W11" s="5">
        <v>0.65817437298828496</v>
      </c>
    </row>
    <row r="12" spans="1:23" ht="20" customHeight="1" x14ac:dyDescent="0.15">
      <c r="A12" s="41">
        <v>1</v>
      </c>
      <c r="B12" s="3">
        <v>0.61</v>
      </c>
      <c r="C12" s="4">
        <v>0.54</v>
      </c>
      <c r="D12" s="4">
        <v>0.56999999999999995</v>
      </c>
      <c r="E12" s="38">
        <v>146</v>
      </c>
      <c r="F12" s="4" t="s">
        <v>177</v>
      </c>
      <c r="G12" s="31"/>
      <c r="H12" s="15"/>
      <c r="I12" s="41">
        <v>1</v>
      </c>
      <c r="J12" s="3">
        <v>0.59</v>
      </c>
      <c r="K12" s="4">
        <v>0.62</v>
      </c>
      <c r="L12" s="4">
        <v>0.6</v>
      </c>
      <c r="M12" s="38">
        <v>860</v>
      </c>
      <c r="N12" s="4" t="s">
        <v>194</v>
      </c>
      <c r="O12" s="31"/>
      <c r="P12" s="15"/>
      <c r="Q12" s="41">
        <v>1</v>
      </c>
      <c r="R12" s="3">
        <v>0.63</v>
      </c>
      <c r="S12" s="4">
        <v>0.74</v>
      </c>
      <c r="T12" s="4">
        <v>0.68</v>
      </c>
      <c r="U12" s="38">
        <v>961</v>
      </c>
      <c r="V12" s="4" t="s">
        <v>212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0.65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0.64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0.66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0.64</v>
      </c>
      <c r="C14" s="4">
        <v>0.64</v>
      </c>
      <c r="D14" s="4">
        <v>0.64</v>
      </c>
      <c r="E14" s="38">
        <v>338</v>
      </c>
      <c r="F14" s="4"/>
      <c r="G14" s="31"/>
      <c r="H14" s="15"/>
      <c r="I14" s="42" t="s">
        <v>97</v>
      </c>
      <c r="J14" s="3">
        <v>0.64</v>
      </c>
      <c r="K14" s="4">
        <v>0.64</v>
      </c>
      <c r="L14" s="4">
        <v>0.64</v>
      </c>
      <c r="M14" s="38">
        <v>1936</v>
      </c>
      <c r="N14" s="4"/>
      <c r="O14" s="31"/>
      <c r="P14" s="15"/>
      <c r="Q14" s="42" t="s">
        <v>97</v>
      </c>
      <c r="R14" s="3">
        <v>0.66</v>
      </c>
      <c r="S14" s="4">
        <v>0.66</v>
      </c>
      <c r="T14" s="4">
        <v>0.66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0.65</v>
      </c>
      <c r="C15" s="4">
        <v>0.65</v>
      </c>
      <c r="D15" s="4">
        <v>0.65</v>
      </c>
      <c r="E15" s="38">
        <v>338</v>
      </c>
      <c r="F15" s="4"/>
      <c r="G15" s="31"/>
      <c r="H15" s="15"/>
      <c r="I15" s="42" t="s">
        <v>98</v>
      </c>
      <c r="J15" s="3">
        <v>0.64</v>
      </c>
      <c r="K15" s="4">
        <v>0.64</v>
      </c>
      <c r="L15" s="4">
        <v>0.64</v>
      </c>
      <c r="M15" s="38">
        <v>1936</v>
      </c>
      <c r="N15" s="4"/>
      <c r="O15" s="31"/>
      <c r="P15" s="15"/>
      <c r="Q15" s="42" t="s">
        <v>98</v>
      </c>
      <c r="R15" s="3">
        <v>0.66</v>
      </c>
      <c r="S15" s="4">
        <v>0.66</v>
      </c>
      <c r="T15" s="4">
        <v>0.65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0.6</v>
      </c>
      <c r="C19" s="2">
        <v>0.86</v>
      </c>
      <c r="D19" s="2">
        <v>0.71</v>
      </c>
      <c r="E19" s="37">
        <v>192</v>
      </c>
      <c r="F19" s="2" t="s">
        <v>178</v>
      </c>
      <c r="G19" s="5">
        <v>0.54955051369862995</v>
      </c>
      <c r="H19" s="15"/>
      <c r="I19" s="40">
        <v>0</v>
      </c>
      <c r="J19" s="1">
        <v>0.67</v>
      </c>
      <c r="K19" s="2">
        <v>0.36</v>
      </c>
      <c r="L19" s="2">
        <v>0.47</v>
      </c>
      <c r="M19" s="37">
        <v>1076</v>
      </c>
      <c r="N19" s="2" t="s">
        <v>195</v>
      </c>
      <c r="O19" s="5">
        <v>0.57145975620299105</v>
      </c>
      <c r="P19" s="15"/>
      <c r="Q19" s="40">
        <v>0</v>
      </c>
      <c r="R19" s="1">
        <v>0.69</v>
      </c>
      <c r="S19" s="2">
        <v>0.09</v>
      </c>
      <c r="T19" s="2">
        <v>0.16</v>
      </c>
      <c r="U19" s="37">
        <v>987</v>
      </c>
      <c r="V19" s="2" t="s">
        <v>213</v>
      </c>
      <c r="W19" s="5">
        <v>0.52527393050341198</v>
      </c>
    </row>
    <row r="20" spans="1:23" ht="20" customHeight="1" x14ac:dyDescent="0.15">
      <c r="A20" s="41">
        <v>1</v>
      </c>
      <c r="B20" s="3">
        <v>0.56000000000000005</v>
      </c>
      <c r="C20" s="4">
        <v>0.24</v>
      </c>
      <c r="D20" s="4">
        <v>0.34</v>
      </c>
      <c r="E20" s="38">
        <v>146</v>
      </c>
      <c r="F20" s="4" t="s">
        <v>179</v>
      </c>
      <c r="G20" s="31"/>
      <c r="H20" s="15"/>
      <c r="I20" s="41">
        <v>1</v>
      </c>
      <c r="J20" s="3">
        <v>0.49</v>
      </c>
      <c r="K20" s="4">
        <v>0.78</v>
      </c>
      <c r="L20" s="4">
        <v>0.61</v>
      </c>
      <c r="M20" s="38">
        <v>860</v>
      </c>
      <c r="N20" s="4" t="s">
        <v>196</v>
      </c>
      <c r="O20" s="31"/>
      <c r="P20" s="15"/>
      <c r="Q20" s="41">
        <v>1</v>
      </c>
      <c r="R20" s="3">
        <v>0.51</v>
      </c>
      <c r="S20" s="4">
        <v>0.96</v>
      </c>
      <c r="T20" s="4">
        <v>0.66</v>
      </c>
      <c r="U20" s="38">
        <v>961</v>
      </c>
      <c r="V20" s="4" t="s">
        <v>214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0.59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0.55000000000000004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0.52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0.57999999999999996</v>
      </c>
      <c r="C22" s="4">
        <v>0.55000000000000004</v>
      </c>
      <c r="D22" s="4">
        <v>0.52</v>
      </c>
      <c r="E22" s="38">
        <v>338</v>
      </c>
      <c r="F22" s="4"/>
      <c r="G22" s="31"/>
      <c r="H22" s="15"/>
      <c r="I22" s="42" t="s">
        <v>97</v>
      </c>
      <c r="J22" s="3">
        <v>0.57999999999999996</v>
      </c>
      <c r="K22" s="4">
        <v>0.56999999999999995</v>
      </c>
      <c r="L22" s="4">
        <v>0.54</v>
      </c>
      <c r="M22" s="38">
        <v>1936</v>
      </c>
      <c r="N22" s="4"/>
      <c r="O22" s="31"/>
      <c r="P22" s="15"/>
      <c r="Q22" s="42" t="s">
        <v>97</v>
      </c>
      <c r="R22" s="3">
        <v>0.6</v>
      </c>
      <c r="S22" s="4">
        <v>0.53</v>
      </c>
      <c r="T22" s="4">
        <v>0.41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0.57999999999999996</v>
      </c>
      <c r="C23" s="4">
        <v>0.59</v>
      </c>
      <c r="D23" s="4">
        <v>0.55000000000000004</v>
      </c>
      <c r="E23" s="38">
        <v>338</v>
      </c>
      <c r="F23" s="4"/>
      <c r="G23" s="31"/>
      <c r="H23" s="15"/>
      <c r="I23" s="42" t="s">
        <v>98</v>
      </c>
      <c r="J23" s="3">
        <v>0.59</v>
      </c>
      <c r="K23" s="4">
        <v>0.55000000000000004</v>
      </c>
      <c r="L23" s="4">
        <v>0.53</v>
      </c>
      <c r="M23" s="38">
        <v>1936</v>
      </c>
      <c r="N23" s="4"/>
      <c r="O23" s="31"/>
      <c r="P23" s="15"/>
      <c r="Q23" s="42" t="s">
        <v>98</v>
      </c>
      <c r="R23" s="3">
        <v>0.6</v>
      </c>
      <c r="S23" s="4">
        <v>0.52</v>
      </c>
      <c r="T23" s="4">
        <v>0.41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0.61</v>
      </c>
      <c r="C27" s="2">
        <v>0.7</v>
      </c>
      <c r="D27" s="2">
        <v>0.65</v>
      </c>
      <c r="E27" s="37">
        <v>162</v>
      </c>
      <c r="F27" s="2" t="s">
        <v>180</v>
      </c>
      <c r="G27" s="5">
        <v>0.64162457912457904</v>
      </c>
      <c r="H27" s="15"/>
      <c r="I27" s="40">
        <v>0</v>
      </c>
      <c r="J27" s="1">
        <v>0.6</v>
      </c>
      <c r="K27" s="2">
        <v>0.65</v>
      </c>
      <c r="L27" s="2">
        <v>0.63</v>
      </c>
      <c r="M27" s="37">
        <v>934</v>
      </c>
      <c r="N27" s="2" t="s">
        <v>197</v>
      </c>
      <c r="O27" s="5">
        <v>0.62299597806528195</v>
      </c>
      <c r="P27" s="15"/>
      <c r="Q27" s="40">
        <v>0</v>
      </c>
      <c r="R27" s="1">
        <v>0.69</v>
      </c>
      <c r="S27" s="2">
        <v>0.55000000000000004</v>
      </c>
      <c r="T27" s="2">
        <v>0.61</v>
      </c>
      <c r="U27" s="37">
        <v>808</v>
      </c>
      <c r="V27" s="2" t="s">
        <v>215</v>
      </c>
      <c r="W27" s="5">
        <v>0.68553717213826604</v>
      </c>
    </row>
    <row r="28" spans="1:23" ht="20" customHeight="1" x14ac:dyDescent="0.15">
      <c r="A28" s="41">
        <v>1</v>
      </c>
      <c r="B28" s="3">
        <v>0.68</v>
      </c>
      <c r="C28" s="4">
        <v>0.57999999999999996</v>
      </c>
      <c r="D28" s="4">
        <v>0.63</v>
      </c>
      <c r="E28" s="38">
        <v>176</v>
      </c>
      <c r="F28" s="4" t="s">
        <v>48</v>
      </c>
      <c r="G28" s="31"/>
      <c r="H28" s="15"/>
      <c r="I28" s="41">
        <v>1</v>
      </c>
      <c r="J28" s="3">
        <v>0.65</v>
      </c>
      <c r="K28" s="4">
        <v>0.59</v>
      </c>
      <c r="L28" s="4">
        <v>0.62</v>
      </c>
      <c r="M28" s="38">
        <v>1002</v>
      </c>
      <c r="N28" s="4" t="s">
        <v>198</v>
      </c>
      <c r="O28" s="31"/>
      <c r="P28" s="15"/>
      <c r="Q28" s="41">
        <v>1</v>
      </c>
      <c r="R28" s="3">
        <v>0.72</v>
      </c>
      <c r="S28" s="4">
        <v>0.82</v>
      </c>
      <c r="T28" s="4">
        <v>0.77</v>
      </c>
      <c r="U28" s="38">
        <v>1140</v>
      </c>
      <c r="V28" s="4" t="s">
        <v>216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0.64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0.62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0.71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0.64</v>
      </c>
      <c r="C30" s="4">
        <v>0.64</v>
      </c>
      <c r="D30" s="4">
        <v>0.64</v>
      </c>
      <c r="E30" s="38">
        <v>338</v>
      </c>
      <c r="F30" s="4"/>
      <c r="G30" s="31"/>
      <c r="H30" s="15"/>
      <c r="I30" s="42" t="s">
        <v>97</v>
      </c>
      <c r="J30" s="3">
        <v>0.62</v>
      </c>
      <c r="K30" s="4">
        <v>0.62</v>
      </c>
      <c r="L30" s="4">
        <v>0.62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0.69</v>
      </c>
      <c r="T30" s="4">
        <v>0.69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0.64</v>
      </c>
      <c r="C31" s="4">
        <v>0.64</v>
      </c>
      <c r="D31" s="4">
        <v>0.64</v>
      </c>
      <c r="E31" s="38">
        <v>338</v>
      </c>
      <c r="F31" s="4"/>
      <c r="G31" s="31"/>
      <c r="H31" s="15"/>
      <c r="I31" s="42" t="s">
        <v>98</v>
      </c>
      <c r="J31" s="3">
        <v>0.62</v>
      </c>
      <c r="K31" s="4">
        <v>0.62</v>
      </c>
      <c r="L31" s="4">
        <v>0.62</v>
      </c>
      <c r="M31" s="38">
        <v>1936</v>
      </c>
      <c r="N31" s="4"/>
      <c r="O31" s="31"/>
      <c r="P31" s="15"/>
      <c r="Q31" s="42" t="s">
        <v>98</v>
      </c>
      <c r="R31" s="3">
        <v>0.71</v>
      </c>
      <c r="S31" s="4">
        <v>0.71</v>
      </c>
      <c r="T31" s="4">
        <v>0.7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0.59</v>
      </c>
      <c r="C35" s="2">
        <v>0.73</v>
      </c>
      <c r="D35" s="2">
        <v>0.65</v>
      </c>
      <c r="E35" s="37">
        <v>162</v>
      </c>
      <c r="F35" s="2" t="s">
        <v>181</v>
      </c>
      <c r="G35" s="5">
        <v>0.62864758698092005</v>
      </c>
      <c r="H35" s="15"/>
      <c r="I35" s="40">
        <v>0</v>
      </c>
      <c r="J35" s="1">
        <v>0.59</v>
      </c>
      <c r="K35" s="2">
        <v>0.67</v>
      </c>
      <c r="L35" s="2">
        <v>0.63</v>
      </c>
      <c r="M35" s="37">
        <v>934</v>
      </c>
      <c r="N35" s="2" t="s">
        <v>199</v>
      </c>
      <c r="O35" s="5">
        <v>0.61997525292028299</v>
      </c>
      <c r="P35" s="15"/>
      <c r="Q35" s="40">
        <v>0</v>
      </c>
      <c r="R35" s="1">
        <v>0.64</v>
      </c>
      <c r="S35" s="2">
        <v>0.57999999999999996</v>
      </c>
      <c r="T35" s="2">
        <v>0.61</v>
      </c>
      <c r="U35" s="37">
        <v>808</v>
      </c>
      <c r="V35" s="2" t="s">
        <v>217</v>
      </c>
      <c r="W35" s="5">
        <v>0.67476984540559304</v>
      </c>
    </row>
    <row r="36" spans="1:23" ht="20" customHeight="1" x14ac:dyDescent="0.15">
      <c r="A36" s="41">
        <v>1</v>
      </c>
      <c r="B36" s="3">
        <v>0.68</v>
      </c>
      <c r="C36" s="4">
        <v>0.52</v>
      </c>
      <c r="D36" s="4">
        <v>0.59</v>
      </c>
      <c r="E36" s="38">
        <v>176</v>
      </c>
      <c r="F36" s="4" t="s">
        <v>182</v>
      </c>
      <c r="G36" s="31"/>
      <c r="H36" s="15"/>
      <c r="I36" s="41">
        <v>1</v>
      </c>
      <c r="J36" s="3">
        <v>0.65</v>
      </c>
      <c r="K36" s="4">
        <v>0.56999999999999995</v>
      </c>
      <c r="L36" s="4">
        <v>0.61</v>
      </c>
      <c r="M36" s="38">
        <v>1002</v>
      </c>
      <c r="N36" s="4" t="s">
        <v>200</v>
      </c>
      <c r="O36" s="31"/>
      <c r="P36" s="15"/>
      <c r="Q36" s="41">
        <v>1</v>
      </c>
      <c r="R36" s="3">
        <v>0.72</v>
      </c>
      <c r="S36" s="4">
        <v>0.77</v>
      </c>
      <c r="T36" s="4">
        <v>0.75</v>
      </c>
      <c r="U36" s="38">
        <v>1140</v>
      </c>
      <c r="V36" s="4" t="s">
        <v>218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0.62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0.62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0.69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0.63</v>
      </c>
      <c r="C38" s="4">
        <v>0.63</v>
      </c>
      <c r="D38" s="4">
        <v>0.62</v>
      </c>
      <c r="E38" s="38">
        <v>338</v>
      </c>
      <c r="F38" s="4"/>
      <c r="G38" s="31"/>
      <c r="H38" s="15"/>
      <c r="I38" s="42" t="s">
        <v>97</v>
      </c>
      <c r="J38" s="3">
        <v>0.62</v>
      </c>
      <c r="K38" s="4">
        <v>0.62</v>
      </c>
      <c r="L38" s="4">
        <v>0.62</v>
      </c>
      <c r="M38" s="38">
        <v>1936</v>
      </c>
      <c r="N38" s="4"/>
      <c r="O38" s="31"/>
      <c r="P38" s="15"/>
      <c r="Q38" s="42" t="s">
        <v>97</v>
      </c>
      <c r="R38" s="3">
        <v>0.68</v>
      </c>
      <c r="S38" s="4">
        <v>0.67</v>
      </c>
      <c r="T38" s="4">
        <v>0.68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0.64</v>
      </c>
      <c r="C39" s="4">
        <v>0.62</v>
      </c>
      <c r="D39" s="4">
        <v>0.62</v>
      </c>
      <c r="E39" s="38">
        <v>338</v>
      </c>
      <c r="F39" s="4"/>
      <c r="G39" s="31"/>
      <c r="H39" s="15"/>
      <c r="I39" s="42" t="s">
        <v>98</v>
      </c>
      <c r="J39" s="3">
        <v>0.62</v>
      </c>
      <c r="K39" s="4">
        <v>0.62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0.69</v>
      </c>
      <c r="S39" s="4">
        <v>0.69</v>
      </c>
      <c r="T39" s="4">
        <v>0.69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0.51</v>
      </c>
      <c r="C43" s="2">
        <v>0.69</v>
      </c>
      <c r="D43" s="2">
        <v>0.57999999999999996</v>
      </c>
      <c r="E43" s="37">
        <v>162</v>
      </c>
      <c r="F43" s="2" t="s">
        <v>183</v>
      </c>
      <c r="G43" s="5">
        <v>0.53601992143658805</v>
      </c>
      <c r="H43" s="15"/>
      <c r="I43" s="40">
        <v>0</v>
      </c>
      <c r="J43" s="1">
        <v>0.65</v>
      </c>
      <c r="K43" s="2">
        <v>0.21</v>
      </c>
      <c r="L43" s="2">
        <v>0.32</v>
      </c>
      <c r="M43" s="37">
        <v>934</v>
      </c>
      <c r="N43" s="2" t="s">
        <v>201</v>
      </c>
      <c r="O43" s="5">
        <v>0.55210350177589096</v>
      </c>
      <c r="P43" s="15"/>
      <c r="Q43" s="40">
        <v>0</v>
      </c>
      <c r="R43" s="1">
        <v>0.68</v>
      </c>
      <c r="S43" s="2">
        <v>0.28999999999999998</v>
      </c>
      <c r="T43" s="2">
        <v>0.41</v>
      </c>
      <c r="U43" s="37">
        <v>808</v>
      </c>
      <c r="V43" s="2" t="s">
        <v>219</v>
      </c>
      <c r="W43" s="5">
        <v>0.59841280180649603</v>
      </c>
    </row>
    <row r="44" spans="1:23" ht="20" customHeight="1" x14ac:dyDescent="0.15">
      <c r="A44" s="41">
        <v>1</v>
      </c>
      <c r="B44" s="3">
        <v>0.56999999999999995</v>
      </c>
      <c r="C44" s="4">
        <v>0.38</v>
      </c>
      <c r="D44" s="4">
        <v>0.46</v>
      </c>
      <c r="E44" s="38">
        <v>176</v>
      </c>
      <c r="F44" s="4" t="s">
        <v>184</v>
      </c>
      <c r="G44" s="31"/>
      <c r="H44" s="15"/>
      <c r="I44" s="41">
        <v>1</v>
      </c>
      <c r="J44" s="3">
        <v>0.55000000000000004</v>
      </c>
      <c r="K44" s="4">
        <v>0.89</v>
      </c>
      <c r="L44" s="4">
        <v>0.68</v>
      </c>
      <c r="M44" s="38">
        <v>1002</v>
      </c>
      <c r="N44" s="4" t="s">
        <v>202</v>
      </c>
      <c r="O44" s="31"/>
      <c r="P44" s="15"/>
      <c r="Q44" s="41">
        <v>1</v>
      </c>
      <c r="R44" s="3">
        <v>0.64</v>
      </c>
      <c r="S44" s="4">
        <v>0.9</v>
      </c>
      <c r="T44" s="4">
        <v>0.75</v>
      </c>
      <c r="U44" s="38">
        <v>1140</v>
      </c>
      <c r="V44" s="4" t="s">
        <v>220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0.53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0.56000000000000005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0.65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0.54</v>
      </c>
      <c r="C46" s="4">
        <v>0.54</v>
      </c>
      <c r="D46" s="4">
        <v>0.52</v>
      </c>
      <c r="E46" s="38">
        <v>338</v>
      </c>
      <c r="F46" s="4"/>
      <c r="G46" s="31"/>
      <c r="H46" s="15"/>
      <c r="I46" s="42" t="s">
        <v>97</v>
      </c>
      <c r="J46" s="3">
        <v>0.6</v>
      </c>
      <c r="K46" s="4">
        <v>0.55000000000000004</v>
      </c>
      <c r="L46" s="4">
        <v>0.5</v>
      </c>
      <c r="M46" s="38">
        <v>1936</v>
      </c>
      <c r="N46" s="4"/>
      <c r="O46" s="31"/>
      <c r="P46" s="15"/>
      <c r="Q46" s="42" t="s">
        <v>97</v>
      </c>
      <c r="R46" s="3">
        <v>0.66</v>
      </c>
      <c r="S46" s="4">
        <v>0.6</v>
      </c>
      <c r="T46" s="4">
        <v>0.57999999999999996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0.54</v>
      </c>
      <c r="C47" s="4">
        <v>0.53</v>
      </c>
      <c r="D47" s="4">
        <v>0.52</v>
      </c>
      <c r="E47" s="38">
        <v>338</v>
      </c>
      <c r="F47" s="4"/>
      <c r="G47" s="31"/>
      <c r="H47" s="15"/>
      <c r="I47" s="42" t="s">
        <v>98</v>
      </c>
      <c r="J47" s="3">
        <v>0.6</v>
      </c>
      <c r="K47" s="4">
        <v>0.56000000000000005</v>
      </c>
      <c r="L47" s="4">
        <v>0.51</v>
      </c>
      <c r="M47" s="38">
        <v>1936</v>
      </c>
      <c r="N47" s="4"/>
      <c r="O47" s="31"/>
      <c r="P47" s="15"/>
      <c r="Q47" s="42" t="s">
        <v>98</v>
      </c>
      <c r="R47" s="3">
        <v>0.66</v>
      </c>
      <c r="S47" s="4">
        <v>0.65</v>
      </c>
      <c r="T47" s="4">
        <v>0.61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0.66</v>
      </c>
      <c r="C51" s="2">
        <v>0.45</v>
      </c>
      <c r="D51" s="2">
        <v>0.53</v>
      </c>
      <c r="E51" s="37">
        <v>163</v>
      </c>
      <c r="F51" s="2" t="s">
        <v>185</v>
      </c>
      <c r="G51" s="5">
        <v>0.61821209465381199</v>
      </c>
      <c r="H51" s="15"/>
      <c r="I51" s="40">
        <v>0</v>
      </c>
      <c r="J51" s="1">
        <v>0.69</v>
      </c>
      <c r="K51" s="2">
        <v>0.24</v>
      </c>
      <c r="L51" s="2">
        <v>0.36</v>
      </c>
      <c r="M51" s="37">
        <v>915</v>
      </c>
      <c r="N51" s="2" t="s">
        <v>203</v>
      </c>
      <c r="O51" s="5">
        <v>0.57075726679618699</v>
      </c>
      <c r="P51" s="15"/>
      <c r="Q51" s="40">
        <v>0</v>
      </c>
      <c r="R51" s="1">
        <v>0.68</v>
      </c>
      <c r="S51" s="2">
        <v>0.32</v>
      </c>
      <c r="T51" s="2">
        <v>0.44</v>
      </c>
      <c r="U51" s="37">
        <v>881</v>
      </c>
      <c r="V51" s="2" t="s">
        <v>221</v>
      </c>
      <c r="W51" s="5">
        <v>0.59895513639501796</v>
      </c>
    </row>
    <row r="52" spans="1:23" ht="20" customHeight="1" x14ac:dyDescent="0.15">
      <c r="A52" s="41">
        <v>1</v>
      </c>
      <c r="B52" s="3">
        <v>0.61</v>
      </c>
      <c r="C52" s="4">
        <v>0.79</v>
      </c>
      <c r="D52" s="4">
        <v>0.68</v>
      </c>
      <c r="E52" s="38">
        <v>175</v>
      </c>
      <c r="F52" s="4" t="s">
        <v>186</v>
      </c>
      <c r="G52" s="31"/>
      <c r="H52" s="15"/>
      <c r="I52" s="41">
        <v>1</v>
      </c>
      <c r="J52" s="3">
        <v>0.56999999999999995</v>
      </c>
      <c r="K52" s="4">
        <v>0.9</v>
      </c>
      <c r="L52" s="4">
        <v>0.7</v>
      </c>
      <c r="M52" s="38">
        <v>1021</v>
      </c>
      <c r="N52" s="4" t="s">
        <v>204</v>
      </c>
      <c r="O52" s="31"/>
      <c r="P52" s="15"/>
      <c r="Q52" s="41">
        <v>1</v>
      </c>
      <c r="R52" s="3">
        <v>0.61</v>
      </c>
      <c r="S52" s="4">
        <v>0.87</v>
      </c>
      <c r="T52" s="4">
        <v>0.72</v>
      </c>
      <c r="U52" s="38">
        <v>1067</v>
      </c>
      <c r="V52" s="4" t="s">
        <v>222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0.62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0.59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0.63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0.63</v>
      </c>
      <c r="C54" s="4">
        <v>0.62</v>
      </c>
      <c r="D54" s="4">
        <v>0.61</v>
      </c>
      <c r="E54" s="38">
        <v>338</v>
      </c>
      <c r="F54" s="4"/>
      <c r="G54" s="31"/>
      <c r="H54" s="15"/>
      <c r="I54" s="42" t="s">
        <v>97</v>
      </c>
      <c r="J54" s="3">
        <v>0.63</v>
      </c>
      <c r="K54" s="4">
        <v>0.56999999999999995</v>
      </c>
      <c r="L54" s="4">
        <v>0.53</v>
      </c>
      <c r="M54" s="38">
        <v>1936</v>
      </c>
      <c r="N54" s="4"/>
      <c r="O54" s="31"/>
      <c r="P54" s="15"/>
      <c r="Q54" s="42" t="s">
        <v>97</v>
      </c>
      <c r="R54" s="3">
        <v>0.65</v>
      </c>
      <c r="S54" s="4">
        <v>0.6</v>
      </c>
      <c r="T54" s="4">
        <v>0.57999999999999996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0.63</v>
      </c>
      <c r="C55" s="4">
        <v>0.62</v>
      </c>
      <c r="D55" s="4">
        <v>0.61</v>
      </c>
      <c r="E55" s="38">
        <v>338</v>
      </c>
      <c r="F55" s="4"/>
      <c r="G55" s="31"/>
      <c r="H55" s="15"/>
      <c r="I55" s="42" t="s">
        <v>98</v>
      </c>
      <c r="J55" s="3">
        <v>0.62</v>
      </c>
      <c r="K55" s="4">
        <v>0.59</v>
      </c>
      <c r="L55" s="4">
        <v>0.54</v>
      </c>
      <c r="M55" s="38">
        <v>1936</v>
      </c>
      <c r="N55" s="4"/>
      <c r="O55" s="31"/>
      <c r="P55" s="15"/>
      <c r="Q55" s="42" t="s">
        <v>98</v>
      </c>
      <c r="R55" s="3">
        <v>0.64</v>
      </c>
      <c r="S55" s="4">
        <v>0.63</v>
      </c>
      <c r="T55" s="4">
        <v>0.59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0.59</v>
      </c>
      <c r="C59" s="2">
        <v>0.52</v>
      </c>
      <c r="D59" s="2">
        <v>0.55000000000000004</v>
      </c>
      <c r="E59" s="37">
        <v>163</v>
      </c>
      <c r="F59" s="2" t="s">
        <v>187</v>
      </c>
      <c r="G59" s="5">
        <v>0.59195442594215597</v>
      </c>
      <c r="H59" s="15"/>
      <c r="I59" s="40">
        <v>0</v>
      </c>
      <c r="J59" s="1">
        <v>0.6</v>
      </c>
      <c r="K59" s="2">
        <v>0.4</v>
      </c>
      <c r="L59" s="2">
        <v>0.48</v>
      </c>
      <c r="M59" s="37">
        <v>915</v>
      </c>
      <c r="N59" s="2" t="s">
        <v>205</v>
      </c>
      <c r="O59" s="5">
        <v>0.580622768848712</v>
      </c>
      <c r="P59" s="15"/>
      <c r="Q59" s="40">
        <v>0</v>
      </c>
      <c r="R59" s="1">
        <v>0.63</v>
      </c>
      <c r="S59" s="2">
        <v>0.38</v>
      </c>
      <c r="T59" s="2">
        <v>0.48</v>
      </c>
      <c r="U59" s="37">
        <v>881</v>
      </c>
      <c r="V59" s="2" t="s">
        <v>223</v>
      </c>
      <c r="W59" s="5">
        <v>0.59978330409658398</v>
      </c>
    </row>
    <row r="60" spans="1:23" ht="20" customHeight="1" x14ac:dyDescent="0.15">
      <c r="A60" s="41">
        <v>1</v>
      </c>
      <c r="B60" s="3">
        <v>0.6</v>
      </c>
      <c r="C60" s="4">
        <v>0.67</v>
      </c>
      <c r="D60" s="4">
        <v>0.63</v>
      </c>
      <c r="E60" s="38">
        <v>175</v>
      </c>
      <c r="F60" s="4" t="s">
        <v>188</v>
      </c>
      <c r="G60" s="31"/>
      <c r="H60" s="15"/>
      <c r="I60" s="41">
        <v>1</v>
      </c>
      <c r="J60" s="3">
        <v>0.59</v>
      </c>
      <c r="K60" s="4">
        <v>0.76</v>
      </c>
      <c r="L60" s="4">
        <v>0.66</v>
      </c>
      <c r="M60" s="38">
        <v>1021</v>
      </c>
      <c r="N60" s="4" t="s">
        <v>206</v>
      </c>
      <c r="O60" s="31"/>
      <c r="P60" s="15"/>
      <c r="Q60" s="41">
        <v>1</v>
      </c>
      <c r="R60" s="3">
        <v>0.62</v>
      </c>
      <c r="S60" s="4">
        <v>0.82</v>
      </c>
      <c r="T60" s="4">
        <v>0.7</v>
      </c>
      <c r="U60" s="38">
        <v>1067</v>
      </c>
      <c r="V60" s="4" t="s">
        <v>224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0.59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0.59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0.62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0.59</v>
      </c>
      <c r="C62" s="4">
        <v>0.59</v>
      </c>
      <c r="D62" s="4">
        <v>0.59</v>
      </c>
      <c r="E62" s="38">
        <v>338</v>
      </c>
      <c r="F62" s="4"/>
      <c r="G62" s="31"/>
      <c r="H62" s="15"/>
      <c r="I62" s="42" t="s">
        <v>97</v>
      </c>
      <c r="J62" s="3">
        <v>0.59</v>
      </c>
      <c r="K62" s="4">
        <v>0.57999999999999996</v>
      </c>
      <c r="L62" s="4">
        <v>0.56999999999999995</v>
      </c>
      <c r="M62" s="38">
        <v>1936</v>
      </c>
      <c r="N62" s="4"/>
      <c r="O62" s="31"/>
      <c r="P62" s="15"/>
      <c r="Q62" s="42" t="s">
        <v>97</v>
      </c>
      <c r="R62" s="3">
        <v>0.62</v>
      </c>
      <c r="S62" s="4">
        <v>0.6</v>
      </c>
      <c r="T62" s="4">
        <v>0.59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0.59</v>
      </c>
      <c r="C63" s="4">
        <v>0.59</v>
      </c>
      <c r="D63" s="4">
        <v>0.59</v>
      </c>
      <c r="E63" s="38">
        <v>338</v>
      </c>
      <c r="F63" s="4"/>
      <c r="G63" s="31"/>
      <c r="H63" s="15"/>
      <c r="I63" s="42" t="s">
        <v>98</v>
      </c>
      <c r="J63" s="3">
        <v>0.59</v>
      </c>
      <c r="K63" s="4">
        <v>0.59</v>
      </c>
      <c r="L63" s="4">
        <v>0.57999999999999996</v>
      </c>
      <c r="M63" s="38">
        <v>1936</v>
      </c>
      <c r="N63" s="4"/>
      <c r="O63" s="31"/>
      <c r="P63" s="15"/>
      <c r="Q63" s="42" t="s">
        <v>98</v>
      </c>
      <c r="R63" s="3">
        <v>0.62</v>
      </c>
      <c r="S63" s="4">
        <v>0.62</v>
      </c>
      <c r="T63" s="4">
        <v>0.6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0.51</v>
      </c>
      <c r="C67" s="2">
        <v>0.49</v>
      </c>
      <c r="D67" s="2">
        <v>0.5</v>
      </c>
      <c r="E67" s="37">
        <v>163</v>
      </c>
      <c r="F67" s="2" t="s">
        <v>189</v>
      </c>
      <c r="G67" s="5">
        <v>0.52825591586327703</v>
      </c>
      <c r="H67" s="15"/>
      <c r="I67" s="40">
        <v>0</v>
      </c>
      <c r="J67" s="1">
        <v>0.51</v>
      </c>
      <c r="K67" s="2">
        <v>0.86</v>
      </c>
      <c r="L67" s="2">
        <v>0.64</v>
      </c>
      <c r="M67" s="37">
        <v>915</v>
      </c>
      <c r="N67" s="2" t="s">
        <v>207</v>
      </c>
      <c r="O67" s="5">
        <v>0.55596837986973002</v>
      </c>
      <c r="P67" s="15"/>
      <c r="Q67" s="40">
        <v>0</v>
      </c>
      <c r="R67" s="1">
        <v>0.61</v>
      </c>
      <c r="S67" s="2">
        <v>0.33</v>
      </c>
      <c r="T67" s="2">
        <v>0.43</v>
      </c>
      <c r="U67" s="37">
        <v>881</v>
      </c>
      <c r="V67" s="2" t="s">
        <v>225</v>
      </c>
      <c r="W67" s="5">
        <v>0.57675896543397098</v>
      </c>
    </row>
    <row r="68" spans="1:23" ht="20" customHeight="1" x14ac:dyDescent="0.15">
      <c r="A68" s="41">
        <v>1</v>
      </c>
      <c r="B68" s="3">
        <v>0.54</v>
      </c>
      <c r="C68" s="4">
        <v>0.56999999999999995</v>
      </c>
      <c r="D68" s="4">
        <v>0.55000000000000004</v>
      </c>
      <c r="E68" s="38">
        <v>175</v>
      </c>
      <c r="F68" s="4" t="s">
        <v>190</v>
      </c>
      <c r="G68" s="31"/>
      <c r="H68" s="15"/>
      <c r="I68" s="41">
        <v>1</v>
      </c>
      <c r="J68" s="3">
        <v>0.67</v>
      </c>
      <c r="K68" s="4">
        <v>0.25</v>
      </c>
      <c r="L68" s="4">
        <v>0.36</v>
      </c>
      <c r="M68" s="38">
        <v>1021</v>
      </c>
      <c r="N68" s="4" t="s">
        <v>208</v>
      </c>
      <c r="O68" s="31"/>
      <c r="P68" s="15"/>
      <c r="Q68" s="41">
        <v>1</v>
      </c>
      <c r="R68" s="3">
        <v>0.6</v>
      </c>
      <c r="S68" s="4">
        <v>0.83</v>
      </c>
      <c r="T68" s="4">
        <v>0.69</v>
      </c>
      <c r="U68" s="38">
        <v>1067</v>
      </c>
      <c r="V68" s="4" t="s">
        <v>226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0.53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0.54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0.6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0.53</v>
      </c>
      <c r="C70" s="4">
        <v>0.53</v>
      </c>
      <c r="D70" s="4">
        <v>0.53</v>
      </c>
      <c r="E70" s="38">
        <v>338</v>
      </c>
      <c r="F70" s="4"/>
      <c r="G70" s="31"/>
      <c r="H70" s="15"/>
      <c r="I70" s="42" t="s">
        <v>97</v>
      </c>
      <c r="J70" s="3">
        <v>0.59</v>
      </c>
      <c r="K70" s="4">
        <v>0.56000000000000005</v>
      </c>
      <c r="L70" s="4">
        <v>0.5</v>
      </c>
      <c r="M70" s="38">
        <v>1936</v>
      </c>
      <c r="N70" s="4"/>
      <c r="O70" s="31"/>
      <c r="P70" s="15"/>
      <c r="Q70" s="42" t="s">
        <v>97</v>
      </c>
      <c r="R70" s="3">
        <v>0.6</v>
      </c>
      <c r="S70" s="4">
        <v>0.57999999999999996</v>
      </c>
      <c r="T70" s="4">
        <v>0.56000000000000005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0.53</v>
      </c>
      <c r="C71" s="4">
        <v>0.53</v>
      </c>
      <c r="D71" s="4">
        <v>0.53</v>
      </c>
      <c r="E71" s="38">
        <v>338</v>
      </c>
      <c r="F71" s="4"/>
      <c r="G71" s="31"/>
      <c r="H71" s="20"/>
      <c r="I71" s="42" t="s">
        <v>98</v>
      </c>
      <c r="J71" s="3">
        <v>0.59</v>
      </c>
      <c r="K71" s="4">
        <v>0.54</v>
      </c>
      <c r="L71" s="4">
        <v>0.49</v>
      </c>
      <c r="M71" s="38">
        <v>1936</v>
      </c>
      <c r="N71" s="4"/>
      <c r="O71" s="31"/>
      <c r="P71" s="20"/>
      <c r="Q71" s="42" t="s">
        <v>98</v>
      </c>
      <c r="R71" s="3">
        <v>0.6</v>
      </c>
      <c r="S71" s="4">
        <v>0.6</v>
      </c>
      <c r="T71" s="4">
        <v>0.56999999999999995</v>
      </c>
      <c r="U71" s="38">
        <v>1948</v>
      </c>
      <c r="V71" s="4"/>
      <c r="W71" s="31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71"/>
  <sheetViews>
    <sheetView showGridLines="0" topLeftCell="P40" workbookViewId="0">
      <selection activeCell="T53" sqref="T53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0.69</v>
      </c>
      <c r="C3" s="16">
        <v>0.69</v>
      </c>
      <c r="D3" s="16">
        <v>0.69</v>
      </c>
      <c r="E3" s="34">
        <v>192</v>
      </c>
      <c r="F3" s="16" t="s">
        <v>227</v>
      </c>
      <c r="G3" s="28">
        <v>0.64087471461187195</v>
      </c>
      <c r="H3" s="15"/>
      <c r="I3" s="40">
        <v>0</v>
      </c>
      <c r="J3" s="10">
        <v>0.68</v>
      </c>
      <c r="K3" s="16">
        <v>0.63</v>
      </c>
      <c r="L3" s="16">
        <v>0.66</v>
      </c>
      <c r="M3" s="34">
        <v>1075</v>
      </c>
      <c r="N3" s="16" t="s">
        <v>242</v>
      </c>
      <c r="O3" s="28">
        <v>0.63335224049914896</v>
      </c>
      <c r="P3" s="15"/>
      <c r="Q3" s="40">
        <v>0</v>
      </c>
      <c r="R3" s="10">
        <v>0.74</v>
      </c>
      <c r="S3" s="16">
        <v>0.54</v>
      </c>
      <c r="T3" s="16">
        <v>0.63</v>
      </c>
      <c r="U3" s="34">
        <v>987</v>
      </c>
      <c r="V3" s="16" t="s">
        <v>258</v>
      </c>
      <c r="W3" s="28">
        <v>0.67374252377683996</v>
      </c>
    </row>
    <row r="4" spans="1:23" ht="20" customHeight="1" x14ac:dyDescent="0.15">
      <c r="A4" s="41">
        <v>1</v>
      </c>
      <c r="B4" s="11">
        <v>0.59</v>
      </c>
      <c r="C4" s="12">
        <v>0.59</v>
      </c>
      <c r="D4" s="12">
        <v>0.59</v>
      </c>
      <c r="E4" s="35">
        <v>146</v>
      </c>
      <c r="F4" s="12" t="s">
        <v>151</v>
      </c>
      <c r="G4" s="29"/>
      <c r="H4" s="15"/>
      <c r="I4" s="41">
        <v>1</v>
      </c>
      <c r="J4" s="11">
        <v>0.57999999999999996</v>
      </c>
      <c r="K4" s="12">
        <v>0.63</v>
      </c>
      <c r="L4" s="12">
        <v>0.61</v>
      </c>
      <c r="M4" s="35">
        <v>861</v>
      </c>
      <c r="N4" s="12" t="s">
        <v>243</v>
      </c>
      <c r="O4" s="29"/>
      <c r="P4" s="15"/>
      <c r="Q4" s="41">
        <v>1</v>
      </c>
      <c r="R4" s="11">
        <v>0.63</v>
      </c>
      <c r="S4" s="12">
        <v>0.81</v>
      </c>
      <c r="T4" s="12">
        <v>0.71</v>
      </c>
      <c r="U4" s="35">
        <v>961</v>
      </c>
      <c r="V4" s="12" t="s">
        <v>259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0.65</v>
      </c>
      <c r="E5" s="35">
        <v>338</v>
      </c>
      <c r="F5" s="12"/>
      <c r="G5" s="29"/>
      <c r="H5" s="15"/>
      <c r="I5" s="42" t="s">
        <v>95</v>
      </c>
      <c r="J5" s="11" t="s">
        <v>96</v>
      </c>
      <c r="K5" s="12" t="s">
        <v>96</v>
      </c>
      <c r="L5" s="21">
        <v>0.63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0.64</v>
      </c>
      <c r="C6" s="12">
        <v>0.64</v>
      </c>
      <c r="D6" s="12">
        <v>0.64</v>
      </c>
      <c r="E6" s="35">
        <v>338</v>
      </c>
      <c r="F6" s="12"/>
      <c r="G6" s="29"/>
      <c r="H6" s="15"/>
      <c r="I6" s="42" t="s">
        <v>97</v>
      </c>
      <c r="J6" s="11">
        <v>0.63</v>
      </c>
      <c r="K6" s="12">
        <v>0.63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0.69</v>
      </c>
      <c r="S6" s="12">
        <v>0.67</v>
      </c>
      <c r="T6" s="12">
        <v>0.67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0.65</v>
      </c>
      <c r="C7" s="12">
        <v>0.65</v>
      </c>
      <c r="D7" s="12">
        <v>0.65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0.63</v>
      </c>
      <c r="L7" s="12">
        <v>0.63</v>
      </c>
      <c r="M7" s="35">
        <v>1936</v>
      </c>
      <c r="N7" s="12"/>
      <c r="O7" s="29"/>
      <c r="P7" s="15"/>
      <c r="Q7" s="42" t="s">
        <v>98</v>
      </c>
      <c r="R7" s="11">
        <v>0.69</v>
      </c>
      <c r="S7" s="12">
        <v>0.67</v>
      </c>
      <c r="T7" s="12">
        <v>0.67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0.64</v>
      </c>
      <c r="C11" s="2">
        <v>0.73</v>
      </c>
      <c r="D11" s="2">
        <v>0.68</v>
      </c>
      <c r="E11" s="37">
        <v>192</v>
      </c>
      <c r="F11" s="19" t="s">
        <v>228</v>
      </c>
      <c r="G11" s="5">
        <v>0.59061073059360703</v>
      </c>
      <c r="H11" s="15"/>
      <c r="I11" s="40">
        <v>0</v>
      </c>
      <c r="J11" s="1">
        <v>0.67</v>
      </c>
      <c r="K11" s="2">
        <v>0.67</v>
      </c>
      <c r="L11" s="2">
        <v>0.67</v>
      </c>
      <c r="M11" s="37">
        <v>1075</v>
      </c>
      <c r="N11" s="19" t="s">
        <v>102</v>
      </c>
      <c r="O11" s="5">
        <v>0.63291143343327105</v>
      </c>
      <c r="P11" s="15"/>
      <c r="Q11" s="40">
        <v>0</v>
      </c>
      <c r="R11" s="1">
        <v>0.69</v>
      </c>
      <c r="S11" s="2">
        <v>0.56999999999999995</v>
      </c>
      <c r="T11" s="2">
        <v>0.62</v>
      </c>
      <c r="U11" s="37">
        <v>987</v>
      </c>
      <c r="V11" s="19" t="s">
        <v>260</v>
      </c>
      <c r="W11" s="5">
        <v>0.65413539383473096</v>
      </c>
    </row>
    <row r="12" spans="1:23" ht="20" customHeight="1" x14ac:dyDescent="0.15">
      <c r="A12" s="41">
        <v>1</v>
      </c>
      <c r="B12" s="3">
        <v>0.56000000000000005</v>
      </c>
      <c r="C12" s="4">
        <v>0.45</v>
      </c>
      <c r="D12" s="4">
        <v>0.5</v>
      </c>
      <c r="E12" s="38">
        <v>146</v>
      </c>
      <c r="F12" s="4" t="s">
        <v>119</v>
      </c>
      <c r="G12" s="31"/>
      <c r="H12" s="15"/>
      <c r="I12" s="41">
        <v>1</v>
      </c>
      <c r="J12" s="3">
        <v>0.59</v>
      </c>
      <c r="K12" s="4">
        <v>0.59</v>
      </c>
      <c r="L12" s="4">
        <v>0.59</v>
      </c>
      <c r="M12" s="38">
        <v>861</v>
      </c>
      <c r="N12" s="4" t="s">
        <v>244</v>
      </c>
      <c r="O12" s="31"/>
      <c r="P12" s="15"/>
      <c r="Q12" s="41">
        <v>1</v>
      </c>
      <c r="R12" s="3">
        <v>0.63</v>
      </c>
      <c r="S12" s="4">
        <v>0.74</v>
      </c>
      <c r="T12" s="4">
        <v>0.68</v>
      </c>
      <c r="U12" s="38">
        <v>961</v>
      </c>
      <c r="V12" s="4" t="s">
        <v>261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0.61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0.64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0.65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</v>
      </c>
      <c r="C14" s="4">
        <v>0.59</v>
      </c>
      <c r="D14" s="4">
        <v>0.59</v>
      </c>
      <c r="E14" s="38">
        <v>338</v>
      </c>
      <c r="F14" s="4"/>
      <c r="G14" s="31"/>
      <c r="H14" s="15"/>
      <c r="I14" s="42" t="s">
        <v>97</v>
      </c>
      <c r="J14" s="3">
        <v>0.63</v>
      </c>
      <c r="K14" s="4">
        <v>0.63</v>
      </c>
      <c r="L14" s="4">
        <v>0.63</v>
      </c>
      <c r="M14" s="38">
        <v>1936</v>
      </c>
      <c r="N14" s="4"/>
      <c r="O14" s="31"/>
      <c r="P14" s="15"/>
      <c r="Q14" s="42" t="s">
        <v>97</v>
      </c>
      <c r="R14" s="3">
        <v>0.66</v>
      </c>
      <c r="S14" s="4">
        <v>0.65</v>
      </c>
      <c r="T14" s="4">
        <v>0.65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</v>
      </c>
      <c r="C15" s="4">
        <v>0.61</v>
      </c>
      <c r="D15" s="4">
        <v>0.6</v>
      </c>
      <c r="E15" s="38">
        <v>338</v>
      </c>
      <c r="F15" s="4"/>
      <c r="G15" s="31"/>
      <c r="H15" s="15"/>
      <c r="I15" s="42" t="s">
        <v>98</v>
      </c>
      <c r="J15" s="3">
        <v>0.64</v>
      </c>
      <c r="K15" s="4">
        <v>0.64</v>
      </c>
      <c r="L15" s="4">
        <v>0.64</v>
      </c>
      <c r="M15" s="38">
        <v>1936</v>
      </c>
      <c r="N15" s="4"/>
      <c r="O15" s="31"/>
      <c r="P15" s="15"/>
      <c r="Q15" s="42" t="s">
        <v>98</v>
      </c>
      <c r="R15" s="3">
        <v>0.66</v>
      </c>
      <c r="S15" s="4">
        <v>0.65</v>
      </c>
      <c r="T15" s="4">
        <v>0.65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0.61</v>
      </c>
      <c r="C19" s="2">
        <v>0.55000000000000004</v>
      </c>
      <c r="D19" s="2">
        <v>0.57999999999999996</v>
      </c>
      <c r="E19" s="37">
        <v>192</v>
      </c>
      <c r="F19" s="2" t="s">
        <v>229</v>
      </c>
      <c r="G19" s="5">
        <v>0.54056078767123195</v>
      </c>
      <c r="H19" s="15"/>
      <c r="I19" s="40">
        <v>0</v>
      </c>
      <c r="J19" s="1">
        <v>0.63</v>
      </c>
      <c r="K19" s="2">
        <v>0.57999999999999996</v>
      </c>
      <c r="L19" s="2">
        <v>0.6</v>
      </c>
      <c r="M19" s="37">
        <v>1075</v>
      </c>
      <c r="N19" s="2" t="s">
        <v>245</v>
      </c>
      <c r="O19" s="5">
        <v>0.57768900413256596</v>
      </c>
      <c r="P19" s="15"/>
      <c r="Q19" s="40">
        <v>0</v>
      </c>
      <c r="R19" s="1">
        <v>0.59</v>
      </c>
      <c r="S19" s="2">
        <v>0.63</v>
      </c>
      <c r="T19" s="2">
        <v>0.61</v>
      </c>
      <c r="U19" s="37">
        <v>987</v>
      </c>
      <c r="V19" s="2" t="s">
        <v>262</v>
      </c>
      <c r="W19" s="5">
        <v>0.59135725935601902</v>
      </c>
    </row>
    <row r="20" spans="1:23" ht="20" customHeight="1" x14ac:dyDescent="0.15">
      <c r="A20" s="41">
        <v>1</v>
      </c>
      <c r="B20" s="3">
        <v>0.47</v>
      </c>
      <c r="C20" s="4">
        <v>0.53</v>
      </c>
      <c r="D20" s="4">
        <v>0.5</v>
      </c>
      <c r="E20" s="38">
        <v>146</v>
      </c>
      <c r="F20" s="4" t="s">
        <v>230</v>
      </c>
      <c r="G20" s="31"/>
      <c r="H20" s="15"/>
      <c r="I20" s="41">
        <v>1</v>
      </c>
      <c r="J20" s="3">
        <v>0.52</v>
      </c>
      <c r="K20" s="4">
        <v>0.56999999999999995</v>
      </c>
      <c r="L20" s="4">
        <v>0.55000000000000004</v>
      </c>
      <c r="M20" s="38">
        <v>861</v>
      </c>
      <c r="N20" s="4" t="s">
        <v>246</v>
      </c>
      <c r="O20" s="31"/>
      <c r="P20" s="15"/>
      <c r="Q20" s="41">
        <v>1</v>
      </c>
      <c r="R20" s="3">
        <v>0.59</v>
      </c>
      <c r="S20" s="4">
        <v>0.55000000000000004</v>
      </c>
      <c r="T20" s="4">
        <v>0.56999999999999995</v>
      </c>
      <c r="U20" s="38">
        <v>961</v>
      </c>
      <c r="V20" s="4" t="s">
        <v>263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0.54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0.57999999999999996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0.59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0.54</v>
      </c>
      <c r="C22" s="4">
        <v>0.54</v>
      </c>
      <c r="D22" s="4">
        <v>0.54</v>
      </c>
      <c r="E22" s="38">
        <v>338</v>
      </c>
      <c r="F22" s="4"/>
      <c r="G22" s="31"/>
      <c r="H22" s="15"/>
      <c r="I22" s="42" t="s">
        <v>97</v>
      </c>
      <c r="J22" s="3">
        <v>0.57999999999999996</v>
      </c>
      <c r="K22" s="4">
        <v>0.57999999999999996</v>
      </c>
      <c r="L22" s="4">
        <v>0.57999999999999996</v>
      </c>
      <c r="M22" s="38">
        <v>1936</v>
      </c>
      <c r="N22" s="4"/>
      <c r="O22" s="31"/>
      <c r="P22" s="15"/>
      <c r="Q22" s="42" t="s">
        <v>97</v>
      </c>
      <c r="R22" s="3">
        <v>0.59</v>
      </c>
      <c r="S22" s="4">
        <v>0.59</v>
      </c>
      <c r="T22" s="4">
        <v>0.59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0.55000000000000004</v>
      </c>
      <c r="C23" s="4">
        <v>0.54</v>
      </c>
      <c r="D23" s="4">
        <v>0.54</v>
      </c>
      <c r="E23" s="38">
        <v>338</v>
      </c>
      <c r="F23" s="4"/>
      <c r="G23" s="31"/>
      <c r="H23" s="15"/>
      <c r="I23" s="42" t="s">
        <v>98</v>
      </c>
      <c r="J23" s="3">
        <v>0.57999999999999996</v>
      </c>
      <c r="K23" s="4">
        <v>0.57999999999999996</v>
      </c>
      <c r="L23" s="4">
        <v>0.57999999999999996</v>
      </c>
      <c r="M23" s="38">
        <v>1936</v>
      </c>
      <c r="N23" s="4"/>
      <c r="O23" s="31"/>
      <c r="P23" s="15"/>
      <c r="Q23" s="42" t="s">
        <v>98</v>
      </c>
      <c r="R23" s="3">
        <v>0.59</v>
      </c>
      <c r="S23" s="4">
        <v>0.59</v>
      </c>
      <c r="T23" s="4">
        <v>0.59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0.61</v>
      </c>
      <c r="C27" s="2">
        <v>0.75</v>
      </c>
      <c r="D27" s="2">
        <v>0.67</v>
      </c>
      <c r="E27" s="37">
        <v>163</v>
      </c>
      <c r="F27" s="2" t="s">
        <v>231</v>
      </c>
      <c r="G27" s="5">
        <v>0.64872918492550302</v>
      </c>
      <c r="H27" s="15"/>
      <c r="I27" s="40">
        <v>0</v>
      </c>
      <c r="J27" s="1">
        <v>0.6</v>
      </c>
      <c r="K27" s="2">
        <v>0.66</v>
      </c>
      <c r="L27" s="2">
        <v>0.63</v>
      </c>
      <c r="M27" s="37">
        <v>932</v>
      </c>
      <c r="N27" s="2" t="s">
        <v>247</v>
      </c>
      <c r="O27" s="5">
        <v>0.62858651231981899</v>
      </c>
      <c r="P27" s="15"/>
      <c r="Q27" s="40">
        <v>0</v>
      </c>
      <c r="R27" s="1">
        <v>0.68</v>
      </c>
      <c r="S27" s="2">
        <v>0.55000000000000004</v>
      </c>
      <c r="T27" s="2">
        <v>0.6</v>
      </c>
      <c r="U27" s="37">
        <v>811</v>
      </c>
      <c r="V27" s="2" t="s">
        <v>264</v>
      </c>
      <c r="W27" s="5">
        <v>0.68015479765363396</v>
      </c>
    </row>
    <row r="28" spans="1:23" ht="20" customHeight="1" x14ac:dyDescent="0.15">
      <c r="A28" s="41">
        <v>1</v>
      </c>
      <c r="B28" s="3">
        <v>0.7</v>
      </c>
      <c r="C28" s="4">
        <v>0.54</v>
      </c>
      <c r="D28" s="4">
        <v>0.61</v>
      </c>
      <c r="E28" s="38">
        <v>175</v>
      </c>
      <c r="F28" s="4" t="s">
        <v>232</v>
      </c>
      <c r="G28" s="31"/>
      <c r="H28" s="15"/>
      <c r="I28" s="41">
        <v>1</v>
      </c>
      <c r="J28" s="3">
        <v>0.65</v>
      </c>
      <c r="K28" s="4">
        <v>0.6</v>
      </c>
      <c r="L28" s="4">
        <v>0.63</v>
      </c>
      <c r="M28" s="38">
        <v>1004</v>
      </c>
      <c r="N28" s="4" t="s">
        <v>107</v>
      </c>
      <c r="O28" s="31"/>
      <c r="P28" s="15"/>
      <c r="Q28" s="41">
        <v>1</v>
      </c>
      <c r="R28" s="3">
        <v>0.72</v>
      </c>
      <c r="S28" s="4">
        <v>0.82</v>
      </c>
      <c r="T28" s="4">
        <v>0.76</v>
      </c>
      <c r="U28" s="38">
        <v>1137</v>
      </c>
      <c r="V28" s="4" t="s">
        <v>265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0.64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0.63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0.65</v>
      </c>
      <c r="C30" s="4">
        <v>0.65</v>
      </c>
      <c r="D30" s="4">
        <v>0.64</v>
      </c>
      <c r="E30" s="38">
        <v>338</v>
      </c>
      <c r="F30" s="4"/>
      <c r="G30" s="31"/>
      <c r="H30" s="15"/>
      <c r="I30" s="42" t="s">
        <v>97</v>
      </c>
      <c r="J30" s="3">
        <v>0.63</v>
      </c>
      <c r="K30" s="4">
        <v>0.63</v>
      </c>
      <c r="L30" s="4">
        <v>0.63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0.68</v>
      </c>
      <c r="T30" s="4">
        <v>0.68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0.66</v>
      </c>
      <c r="C31" s="4">
        <v>0.64</v>
      </c>
      <c r="D31" s="4">
        <v>0.64</v>
      </c>
      <c r="E31" s="38">
        <v>338</v>
      </c>
      <c r="F31" s="4"/>
      <c r="G31" s="31"/>
      <c r="H31" s="15"/>
      <c r="I31" s="42" t="s">
        <v>98</v>
      </c>
      <c r="J31" s="3">
        <v>0.63</v>
      </c>
      <c r="K31" s="4">
        <v>0.63</v>
      </c>
      <c r="L31" s="4">
        <v>0.63</v>
      </c>
      <c r="M31" s="38">
        <v>1936</v>
      </c>
      <c r="N31" s="4"/>
      <c r="O31" s="31"/>
      <c r="P31" s="15"/>
      <c r="Q31" s="42" t="s">
        <v>98</v>
      </c>
      <c r="R31" s="3">
        <v>0.7</v>
      </c>
      <c r="S31" s="4">
        <v>0.7</v>
      </c>
      <c r="T31" s="4">
        <v>0.7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0.57999999999999996</v>
      </c>
      <c r="C35" s="2">
        <v>0.72</v>
      </c>
      <c r="D35" s="2">
        <v>0.64</v>
      </c>
      <c r="E35" s="37">
        <v>163</v>
      </c>
      <c r="F35" s="2" t="s">
        <v>233</v>
      </c>
      <c r="G35" s="5">
        <v>0.61318141980718599</v>
      </c>
      <c r="H35" s="15"/>
      <c r="I35" s="40">
        <v>0</v>
      </c>
      <c r="J35" s="1">
        <v>0.6</v>
      </c>
      <c r="K35" s="2">
        <v>0.67</v>
      </c>
      <c r="L35" s="2">
        <v>0.63</v>
      </c>
      <c r="M35" s="37">
        <v>932</v>
      </c>
      <c r="N35" s="2" t="s">
        <v>248</v>
      </c>
      <c r="O35" s="5">
        <v>0.62728698938152905</v>
      </c>
      <c r="P35" s="15"/>
      <c r="Q35" s="40">
        <v>0</v>
      </c>
      <c r="R35" s="1">
        <v>0.63</v>
      </c>
      <c r="S35" s="2">
        <v>0.56000000000000005</v>
      </c>
      <c r="T35" s="2">
        <v>0.6</v>
      </c>
      <c r="U35" s="37">
        <v>811</v>
      </c>
      <c r="V35" s="2" t="s">
        <v>266</v>
      </c>
      <c r="W35" s="5">
        <v>0.66547916890339098</v>
      </c>
    </row>
    <row r="36" spans="1:23" ht="20" customHeight="1" x14ac:dyDescent="0.15">
      <c r="A36" s="41">
        <v>1</v>
      </c>
      <c r="B36" s="3">
        <v>0.66</v>
      </c>
      <c r="C36" s="4">
        <v>0.51</v>
      </c>
      <c r="D36" s="4">
        <v>0.56999999999999995</v>
      </c>
      <c r="E36" s="38">
        <v>175</v>
      </c>
      <c r="F36" s="4" t="s">
        <v>234</v>
      </c>
      <c r="G36" s="31"/>
      <c r="H36" s="15"/>
      <c r="I36" s="41">
        <v>1</v>
      </c>
      <c r="J36" s="3">
        <v>0.66</v>
      </c>
      <c r="K36" s="4">
        <v>0.57999999999999996</v>
      </c>
      <c r="L36" s="4">
        <v>0.62</v>
      </c>
      <c r="M36" s="38">
        <v>1004</v>
      </c>
      <c r="N36" s="4" t="s">
        <v>249</v>
      </c>
      <c r="O36" s="31"/>
      <c r="P36" s="15"/>
      <c r="Q36" s="41">
        <v>1</v>
      </c>
      <c r="R36" s="3">
        <v>0.71</v>
      </c>
      <c r="S36" s="4">
        <v>0.77</v>
      </c>
      <c r="T36" s="4">
        <v>0.74</v>
      </c>
      <c r="U36" s="38">
        <v>1137</v>
      </c>
      <c r="V36" s="4" t="s">
        <v>267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0.61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0.63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0.68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0.62</v>
      </c>
      <c r="C38" s="4">
        <v>0.61</v>
      </c>
      <c r="D38" s="4">
        <v>0.61</v>
      </c>
      <c r="E38" s="38">
        <v>338</v>
      </c>
      <c r="F38" s="4"/>
      <c r="G38" s="31"/>
      <c r="H38" s="15"/>
      <c r="I38" s="42" t="s">
        <v>97</v>
      </c>
      <c r="J38" s="3">
        <v>0.63</v>
      </c>
      <c r="K38" s="4">
        <v>0.63</v>
      </c>
      <c r="L38" s="4">
        <v>0.63</v>
      </c>
      <c r="M38" s="38">
        <v>1936</v>
      </c>
      <c r="N38" s="4"/>
      <c r="O38" s="31"/>
      <c r="P38" s="15"/>
      <c r="Q38" s="42" t="s">
        <v>97</v>
      </c>
      <c r="R38" s="3">
        <v>0.67</v>
      </c>
      <c r="S38" s="4">
        <v>0.67</v>
      </c>
      <c r="T38" s="4">
        <v>0.67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0.62</v>
      </c>
      <c r="C39" s="4">
        <v>0.61</v>
      </c>
      <c r="D39" s="4">
        <v>0.61</v>
      </c>
      <c r="E39" s="38">
        <v>338</v>
      </c>
      <c r="F39" s="4"/>
      <c r="G39" s="31"/>
      <c r="H39" s="15"/>
      <c r="I39" s="42" t="s">
        <v>98</v>
      </c>
      <c r="J39" s="3">
        <v>0.63</v>
      </c>
      <c r="K39" s="4">
        <v>0.63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0.68</v>
      </c>
      <c r="S39" s="4">
        <v>0.68</v>
      </c>
      <c r="T39" s="4">
        <v>0.68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0.55000000000000004</v>
      </c>
      <c r="C43" s="2">
        <v>0.31</v>
      </c>
      <c r="D43" s="2">
        <v>0.4</v>
      </c>
      <c r="E43" s="37">
        <v>163</v>
      </c>
      <c r="F43" s="2" t="s">
        <v>132</v>
      </c>
      <c r="G43" s="5">
        <v>0.53929886064855304</v>
      </c>
      <c r="H43" s="15"/>
      <c r="I43" s="40">
        <v>0</v>
      </c>
      <c r="J43" s="1">
        <v>0.52</v>
      </c>
      <c r="K43" s="2">
        <v>0.78</v>
      </c>
      <c r="L43" s="2">
        <v>0.62</v>
      </c>
      <c r="M43" s="37">
        <v>932</v>
      </c>
      <c r="N43" s="2" t="s">
        <v>250</v>
      </c>
      <c r="O43" s="5">
        <v>0.55371218986713999</v>
      </c>
      <c r="P43" s="15"/>
      <c r="Q43" s="40">
        <v>0</v>
      </c>
      <c r="R43" s="1">
        <v>0.48</v>
      </c>
      <c r="S43" s="2">
        <v>0.9</v>
      </c>
      <c r="T43" s="2">
        <v>0.62</v>
      </c>
      <c r="U43" s="37">
        <v>811</v>
      </c>
      <c r="V43" s="2" t="s">
        <v>268</v>
      </c>
      <c r="W43" s="5">
        <v>0.59711616981543303</v>
      </c>
    </row>
    <row r="44" spans="1:23" ht="20" customHeight="1" x14ac:dyDescent="0.15">
      <c r="A44" s="41">
        <v>1</v>
      </c>
      <c r="B44" s="3">
        <v>0.54</v>
      </c>
      <c r="C44" s="4">
        <v>0.77</v>
      </c>
      <c r="D44" s="4">
        <v>0.64</v>
      </c>
      <c r="E44" s="38">
        <v>175</v>
      </c>
      <c r="F44" s="4" t="s">
        <v>235</v>
      </c>
      <c r="G44" s="31"/>
      <c r="H44" s="15"/>
      <c r="I44" s="41">
        <v>1</v>
      </c>
      <c r="J44" s="3">
        <v>0.61</v>
      </c>
      <c r="K44" s="4">
        <v>0.33</v>
      </c>
      <c r="L44" s="4">
        <v>0.43</v>
      </c>
      <c r="M44" s="38">
        <v>1004</v>
      </c>
      <c r="N44" s="4" t="s">
        <v>251</v>
      </c>
      <c r="O44" s="31"/>
      <c r="P44" s="15"/>
      <c r="Q44" s="41">
        <v>1</v>
      </c>
      <c r="R44" s="3">
        <v>0.81</v>
      </c>
      <c r="S44" s="4">
        <v>0.28999999999999998</v>
      </c>
      <c r="T44" s="4">
        <v>0.43</v>
      </c>
      <c r="U44" s="38">
        <v>1137</v>
      </c>
      <c r="V44" s="4" t="s">
        <v>269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0.55000000000000004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0.55000000000000004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0.55000000000000004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0.55000000000000004</v>
      </c>
      <c r="C46" s="4">
        <v>0.54</v>
      </c>
      <c r="D46" s="4">
        <v>0.52</v>
      </c>
      <c r="E46" s="38">
        <v>338</v>
      </c>
      <c r="F46" s="4"/>
      <c r="G46" s="31"/>
      <c r="H46" s="15"/>
      <c r="I46" s="42" t="s">
        <v>97</v>
      </c>
      <c r="J46" s="3">
        <v>0.56999999999999995</v>
      </c>
      <c r="K46" s="4">
        <v>0.55000000000000004</v>
      </c>
      <c r="L46" s="4">
        <v>0.53</v>
      </c>
      <c r="M46" s="38">
        <v>1936</v>
      </c>
      <c r="N46" s="4"/>
      <c r="O46" s="31"/>
      <c r="P46" s="15"/>
      <c r="Q46" s="42" t="s">
        <v>97</v>
      </c>
      <c r="R46" s="3">
        <v>0.64</v>
      </c>
      <c r="S46" s="4">
        <v>0.6</v>
      </c>
      <c r="T46" s="4">
        <v>0.53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0.55000000000000004</v>
      </c>
      <c r="C47" s="4">
        <v>0.55000000000000004</v>
      </c>
      <c r="D47" s="4">
        <v>0.52</v>
      </c>
      <c r="E47" s="38">
        <v>338</v>
      </c>
      <c r="F47" s="4"/>
      <c r="G47" s="31"/>
      <c r="H47" s="15"/>
      <c r="I47" s="42" t="s">
        <v>98</v>
      </c>
      <c r="J47" s="3">
        <v>0.56999999999999995</v>
      </c>
      <c r="K47" s="4">
        <v>0.55000000000000004</v>
      </c>
      <c r="L47" s="4">
        <v>0.52</v>
      </c>
      <c r="M47" s="38">
        <v>1936</v>
      </c>
      <c r="N47" s="4"/>
      <c r="O47" s="31"/>
      <c r="P47" s="15"/>
      <c r="Q47" s="42" t="s">
        <v>98</v>
      </c>
      <c r="R47" s="3">
        <v>0.67</v>
      </c>
      <c r="S47" s="4">
        <v>0.55000000000000004</v>
      </c>
      <c r="T47" s="4">
        <v>0.51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0.64</v>
      </c>
      <c r="C51" s="2">
        <v>0.39</v>
      </c>
      <c r="D51" s="2">
        <v>0.48</v>
      </c>
      <c r="E51" s="37">
        <v>163</v>
      </c>
      <c r="F51" s="2" t="s">
        <v>236</v>
      </c>
      <c r="G51" s="5">
        <v>0.59325153374233097</v>
      </c>
      <c r="H51" s="15"/>
      <c r="I51" s="40">
        <v>0</v>
      </c>
      <c r="J51" s="1">
        <v>0.68</v>
      </c>
      <c r="K51" s="2">
        <v>0.26</v>
      </c>
      <c r="L51" s="2">
        <v>0.38</v>
      </c>
      <c r="M51" s="37">
        <v>915</v>
      </c>
      <c r="N51" s="2" t="s">
        <v>252</v>
      </c>
      <c r="O51" s="5">
        <v>0.57488693716114603</v>
      </c>
      <c r="P51" s="15"/>
      <c r="Q51" s="40">
        <v>0</v>
      </c>
      <c r="R51" s="1">
        <v>0.69</v>
      </c>
      <c r="S51" s="2">
        <v>0.34</v>
      </c>
      <c r="T51" s="2">
        <v>0.46</v>
      </c>
      <c r="U51" s="37">
        <v>881</v>
      </c>
      <c r="V51" s="2" t="s">
        <v>144</v>
      </c>
      <c r="W51" s="5">
        <v>0.60870219685179205</v>
      </c>
    </row>
    <row r="52" spans="1:23" ht="20" customHeight="1" x14ac:dyDescent="0.15">
      <c r="A52" s="41">
        <v>1</v>
      </c>
      <c r="B52" s="3">
        <v>0.57999999999999996</v>
      </c>
      <c r="C52" s="4">
        <v>0.8</v>
      </c>
      <c r="D52" s="4">
        <v>0.67</v>
      </c>
      <c r="E52" s="38">
        <v>175</v>
      </c>
      <c r="F52" s="4" t="s">
        <v>237</v>
      </c>
      <c r="G52" s="31"/>
      <c r="H52" s="15"/>
      <c r="I52" s="41">
        <v>1</v>
      </c>
      <c r="J52" s="3">
        <v>0.56999999999999995</v>
      </c>
      <c r="K52" s="4">
        <v>0.89</v>
      </c>
      <c r="L52" s="4">
        <v>0.7</v>
      </c>
      <c r="M52" s="38">
        <v>1021</v>
      </c>
      <c r="N52" s="4" t="s">
        <v>253</v>
      </c>
      <c r="O52" s="31"/>
      <c r="P52" s="15"/>
      <c r="Q52" s="41">
        <v>1</v>
      </c>
      <c r="R52" s="3">
        <v>0.62</v>
      </c>
      <c r="S52" s="4">
        <v>0.87</v>
      </c>
      <c r="T52" s="4">
        <v>0.72</v>
      </c>
      <c r="U52" s="38">
        <v>1067</v>
      </c>
      <c r="V52" s="4" t="s">
        <v>270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0.6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0.59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0.63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0.61</v>
      </c>
      <c r="C54" s="4">
        <v>0.59</v>
      </c>
      <c r="D54" s="4">
        <v>0.57999999999999996</v>
      </c>
      <c r="E54" s="38">
        <v>338</v>
      </c>
      <c r="F54" s="4"/>
      <c r="G54" s="31"/>
      <c r="H54" s="15"/>
      <c r="I54" s="42" t="s">
        <v>97</v>
      </c>
      <c r="J54" s="3">
        <v>0.62</v>
      </c>
      <c r="K54" s="4">
        <v>0.56999999999999995</v>
      </c>
      <c r="L54" s="4">
        <v>0.54</v>
      </c>
      <c r="M54" s="38">
        <v>1936</v>
      </c>
      <c r="N54" s="4"/>
      <c r="O54" s="31"/>
      <c r="P54" s="15"/>
      <c r="Q54" s="42" t="s">
        <v>97</v>
      </c>
      <c r="R54" s="3">
        <v>0.65</v>
      </c>
      <c r="S54" s="4">
        <v>0.61</v>
      </c>
      <c r="T54" s="4">
        <v>0.59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0.61</v>
      </c>
      <c r="C55" s="4">
        <v>0.6</v>
      </c>
      <c r="D55" s="4">
        <v>0.57999999999999996</v>
      </c>
      <c r="E55" s="38">
        <v>338</v>
      </c>
      <c r="F55" s="4"/>
      <c r="G55" s="31"/>
      <c r="H55" s="15"/>
      <c r="I55" s="42" t="s">
        <v>98</v>
      </c>
      <c r="J55" s="3">
        <v>0.62</v>
      </c>
      <c r="K55" s="4">
        <v>0.59</v>
      </c>
      <c r="L55" s="4">
        <v>0.55000000000000004</v>
      </c>
      <c r="M55" s="38">
        <v>1936</v>
      </c>
      <c r="N55" s="4"/>
      <c r="O55" s="31"/>
      <c r="P55" s="15"/>
      <c r="Q55" s="42" t="s">
        <v>98</v>
      </c>
      <c r="R55" s="3">
        <v>0.65</v>
      </c>
      <c r="S55" s="4">
        <v>0.63</v>
      </c>
      <c r="T55" s="4">
        <v>0.6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0.56999999999999995</v>
      </c>
      <c r="C59" s="2">
        <v>0.51</v>
      </c>
      <c r="D59" s="2">
        <v>0.54</v>
      </c>
      <c r="E59" s="37">
        <v>163</v>
      </c>
      <c r="F59" s="2" t="s">
        <v>238</v>
      </c>
      <c r="G59" s="5">
        <v>0.57745836985100696</v>
      </c>
      <c r="H59" s="15"/>
      <c r="I59" s="40">
        <v>0</v>
      </c>
      <c r="J59" s="1">
        <v>0.61</v>
      </c>
      <c r="K59" s="2">
        <v>0.44</v>
      </c>
      <c r="L59" s="2">
        <v>0.51</v>
      </c>
      <c r="M59" s="37">
        <v>915</v>
      </c>
      <c r="N59" s="2" t="s">
        <v>254</v>
      </c>
      <c r="O59" s="5">
        <v>0.59217578394695003</v>
      </c>
      <c r="P59" s="15"/>
      <c r="Q59" s="40">
        <v>0</v>
      </c>
      <c r="R59" s="1">
        <v>0.62</v>
      </c>
      <c r="S59" s="2">
        <v>0.38</v>
      </c>
      <c r="T59" s="2">
        <v>0.47</v>
      </c>
      <c r="U59" s="37">
        <v>881</v>
      </c>
      <c r="V59" s="2" t="s">
        <v>91</v>
      </c>
      <c r="W59" s="5">
        <v>0.593665394717385</v>
      </c>
    </row>
    <row r="60" spans="1:23" ht="20" customHeight="1" x14ac:dyDescent="0.15">
      <c r="A60" s="41">
        <v>1</v>
      </c>
      <c r="B60" s="3">
        <v>0.59</v>
      </c>
      <c r="C60" s="4">
        <v>0.65</v>
      </c>
      <c r="D60" s="4">
        <v>0.61</v>
      </c>
      <c r="E60" s="38">
        <v>175</v>
      </c>
      <c r="F60" s="4" t="s">
        <v>239</v>
      </c>
      <c r="G60" s="31"/>
      <c r="H60" s="15"/>
      <c r="I60" s="41">
        <v>1</v>
      </c>
      <c r="J60" s="3">
        <v>0.6</v>
      </c>
      <c r="K60" s="4">
        <v>0.75</v>
      </c>
      <c r="L60" s="4">
        <v>0.66</v>
      </c>
      <c r="M60" s="38">
        <v>1021</v>
      </c>
      <c r="N60" s="4" t="s">
        <v>255</v>
      </c>
      <c r="O60" s="31"/>
      <c r="P60" s="15"/>
      <c r="Q60" s="41">
        <v>1</v>
      </c>
      <c r="R60" s="3">
        <v>0.61</v>
      </c>
      <c r="S60" s="4">
        <v>0.81</v>
      </c>
      <c r="T60" s="4">
        <v>0.7</v>
      </c>
      <c r="U60" s="38">
        <v>1067</v>
      </c>
      <c r="V60" s="4" t="s">
        <v>271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0.57999999999999996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0.6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0.61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0.57999999999999996</v>
      </c>
      <c r="C62" s="4">
        <v>0.57999999999999996</v>
      </c>
      <c r="D62" s="4">
        <v>0.57999999999999996</v>
      </c>
      <c r="E62" s="38">
        <v>338</v>
      </c>
      <c r="F62" s="4"/>
      <c r="G62" s="31"/>
      <c r="H62" s="15"/>
      <c r="I62" s="42" t="s">
        <v>97</v>
      </c>
      <c r="J62" s="3">
        <v>0.6</v>
      </c>
      <c r="K62" s="4">
        <v>0.59</v>
      </c>
      <c r="L62" s="4">
        <v>0.59</v>
      </c>
      <c r="M62" s="38">
        <v>1936</v>
      </c>
      <c r="N62" s="4"/>
      <c r="O62" s="31"/>
      <c r="P62" s="15"/>
      <c r="Q62" s="42" t="s">
        <v>97</v>
      </c>
      <c r="R62" s="3">
        <v>0.62</v>
      </c>
      <c r="S62" s="4">
        <v>0.59</v>
      </c>
      <c r="T62" s="4">
        <v>0.57999999999999996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0.57999999999999996</v>
      </c>
      <c r="C63" s="4">
        <v>0.57999999999999996</v>
      </c>
      <c r="D63" s="4">
        <v>0.57999999999999996</v>
      </c>
      <c r="E63" s="38">
        <v>338</v>
      </c>
      <c r="F63" s="4"/>
      <c r="G63" s="31"/>
      <c r="H63" s="15"/>
      <c r="I63" s="42" t="s">
        <v>98</v>
      </c>
      <c r="J63" s="3">
        <v>0.6</v>
      </c>
      <c r="K63" s="4">
        <v>0.6</v>
      </c>
      <c r="L63" s="4">
        <v>0.59</v>
      </c>
      <c r="M63" s="38">
        <v>1936</v>
      </c>
      <c r="N63" s="4"/>
      <c r="O63" s="31"/>
      <c r="P63" s="15"/>
      <c r="Q63" s="42" t="s">
        <v>98</v>
      </c>
      <c r="R63" s="3">
        <v>0.62</v>
      </c>
      <c r="S63" s="4">
        <v>0.61</v>
      </c>
      <c r="T63" s="4">
        <v>0.59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0.52</v>
      </c>
      <c r="C67" s="2">
        <v>0.64</v>
      </c>
      <c r="D67" s="2">
        <v>0.56999999999999995</v>
      </c>
      <c r="E67" s="37">
        <v>163</v>
      </c>
      <c r="F67" s="2" t="s">
        <v>240</v>
      </c>
      <c r="G67" s="5">
        <v>0.54758983347940404</v>
      </c>
      <c r="H67" s="15"/>
      <c r="I67" s="40">
        <v>0</v>
      </c>
      <c r="J67" s="1">
        <v>0.63</v>
      </c>
      <c r="K67" s="2">
        <v>0.21</v>
      </c>
      <c r="L67" s="2">
        <v>0.31</v>
      </c>
      <c r="M67" s="37">
        <v>915</v>
      </c>
      <c r="N67" s="2" t="s">
        <v>256</v>
      </c>
      <c r="O67" s="5">
        <v>0.54794078450891903</v>
      </c>
      <c r="P67" s="15"/>
      <c r="Q67" s="40">
        <v>0</v>
      </c>
      <c r="R67" s="1">
        <v>0.48</v>
      </c>
      <c r="S67" s="2">
        <v>0.93</v>
      </c>
      <c r="T67" s="2">
        <v>0.63</v>
      </c>
      <c r="U67" s="37">
        <v>881</v>
      </c>
      <c r="V67" s="2" t="s">
        <v>272</v>
      </c>
      <c r="W67" s="5">
        <v>0.54711513605460205</v>
      </c>
    </row>
    <row r="68" spans="1:23" ht="20" customHeight="1" x14ac:dyDescent="0.15">
      <c r="A68" s="41">
        <v>1</v>
      </c>
      <c r="B68" s="3">
        <v>0.57999999999999996</v>
      </c>
      <c r="C68" s="4">
        <v>0.46</v>
      </c>
      <c r="D68" s="4">
        <v>0.51</v>
      </c>
      <c r="E68" s="38">
        <v>175</v>
      </c>
      <c r="F68" s="4" t="s">
        <v>241</v>
      </c>
      <c r="G68" s="31"/>
      <c r="H68" s="15"/>
      <c r="I68" s="41">
        <v>1</v>
      </c>
      <c r="J68" s="3">
        <v>0.56000000000000005</v>
      </c>
      <c r="K68" s="4">
        <v>0.89</v>
      </c>
      <c r="L68" s="4">
        <v>0.68</v>
      </c>
      <c r="M68" s="38">
        <v>1021</v>
      </c>
      <c r="N68" s="4" t="s">
        <v>257</v>
      </c>
      <c r="O68" s="31"/>
      <c r="P68" s="15"/>
      <c r="Q68" s="41">
        <v>1</v>
      </c>
      <c r="R68" s="3">
        <v>0.74</v>
      </c>
      <c r="S68" s="4">
        <v>0.16</v>
      </c>
      <c r="T68" s="4">
        <v>0.27</v>
      </c>
      <c r="U68" s="38">
        <v>1067</v>
      </c>
      <c r="V68" s="4" t="s">
        <v>273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0.54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0.56999999999999995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0.51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0.55000000000000004</v>
      </c>
      <c r="C70" s="4">
        <v>0.55000000000000004</v>
      </c>
      <c r="D70" s="4">
        <v>0.54</v>
      </c>
      <c r="E70" s="38">
        <v>338</v>
      </c>
      <c r="F70" s="4"/>
      <c r="G70" s="31"/>
      <c r="H70" s="15"/>
      <c r="I70" s="42" t="s">
        <v>97</v>
      </c>
      <c r="J70" s="3">
        <v>0.59</v>
      </c>
      <c r="K70" s="4">
        <v>0.55000000000000004</v>
      </c>
      <c r="L70" s="4">
        <v>0.5</v>
      </c>
      <c r="M70" s="38">
        <v>1936</v>
      </c>
      <c r="N70" s="4"/>
      <c r="O70" s="31"/>
      <c r="P70" s="15"/>
      <c r="Q70" s="42" t="s">
        <v>97</v>
      </c>
      <c r="R70" s="3">
        <v>0.61</v>
      </c>
      <c r="S70" s="4">
        <v>0.55000000000000004</v>
      </c>
      <c r="T70" s="4">
        <v>0.45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0.55000000000000004</v>
      </c>
      <c r="C71" s="4">
        <v>0.54</v>
      </c>
      <c r="D71" s="4">
        <v>0.54</v>
      </c>
      <c r="E71" s="38">
        <v>338</v>
      </c>
      <c r="F71" s="4"/>
      <c r="G71" s="31"/>
      <c r="H71" s="20"/>
      <c r="I71" s="42" t="s">
        <v>98</v>
      </c>
      <c r="J71" s="3">
        <v>0.59</v>
      </c>
      <c r="K71" s="4">
        <v>0.56999999999999995</v>
      </c>
      <c r="L71" s="4">
        <v>0.51</v>
      </c>
      <c r="M71" s="38">
        <v>1936</v>
      </c>
      <c r="N71" s="4"/>
      <c r="O71" s="31"/>
      <c r="P71" s="20"/>
      <c r="Q71" s="42" t="s">
        <v>98</v>
      </c>
      <c r="R71" s="3">
        <v>0.62</v>
      </c>
      <c r="S71" s="4">
        <v>0.51</v>
      </c>
      <c r="T71" s="4">
        <v>0.43</v>
      </c>
      <c r="U71" s="38">
        <v>1948</v>
      </c>
      <c r="V71" s="4"/>
      <c r="W71" s="31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71"/>
  <sheetViews>
    <sheetView showGridLines="0" topLeftCell="O45" workbookViewId="0">
      <selection activeCell="T53" sqref="T53"/>
    </sheetView>
  </sheetViews>
  <sheetFormatPr baseColWidth="10" defaultColWidth="16.33203125" defaultRowHeight="20" customHeight="1" x14ac:dyDescent="0.15"/>
  <cols>
    <col min="1" max="1" width="16.33203125" style="39" customWidth="1"/>
    <col min="2" max="4" width="16.33203125" style="7" customWidth="1"/>
    <col min="5" max="5" width="16.33203125" style="39" customWidth="1"/>
    <col min="6" max="6" width="16.33203125" style="7" customWidth="1"/>
    <col min="7" max="7" width="18" style="32" customWidth="1"/>
    <col min="8" max="8" width="16.33203125" style="7" customWidth="1"/>
    <col min="9" max="9" width="16.33203125" style="39" customWidth="1"/>
    <col min="10" max="12" width="16.33203125" style="7" customWidth="1"/>
    <col min="13" max="13" width="16.33203125" style="39" customWidth="1"/>
    <col min="14" max="14" width="16.33203125" style="7" customWidth="1"/>
    <col min="15" max="15" width="18" style="32" customWidth="1"/>
    <col min="16" max="16" width="16.33203125" style="7" customWidth="1"/>
    <col min="17" max="17" width="16.33203125" style="39" customWidth="1"/>
    <col min="18" max="20" width="16.33203125" style="7" customWidth="1"/>
    <col min="21" max="21" width="16.33203125" style="39" customWidth="1"/>
    <col min="22" max="22" width="16.33203125" style="7" customWidth="1"/>
    <col min="23" max="23" width="18" style="32" customWidth="1"/>
    <col min="24" max="24" width="16.33203125" style="7" customWidth="1"/>
    <col min="25" max="16384" width="16.33203125" style="7"/>
  </cols>
  <sheetData>
    <row r="1" spans="1:23" ht="27.75" customHeight="1" x14ac:dyDescent="0.15">
      <c r="A1" s="22" t="s">
        <v>0</v>
      </c>
      <c r="B1" s="23"/>
      <c r="C1" s="23"/>
      <c r="D1" s="23"/>
      <c r="E1" s="23"/>
      <c r="F1" s="23"/>
      <c r="G1" s="23"/>
      <c r="H1" s="13"/>
      <c r="I1" s="22" t="s">
        <v>1</v>
      </c>
      <c r="J1" s="23"/>
      <c r="K1" s="23"/>
      <c r="L1" s="23"/>
      <c r="M1" s="23"/>
      <c r="N1" s="23"/>
      <c r="O1" s="23"/>
      <c r="P1" s="13"/>
      <c r="Q1" s="22" t="s">
        <v>2</v>
      </c>
      <c r="R1" s="23"/>
      <c r="S1" s="23"/>
      <c r="T1" s="23"/>
      <c r="U1" s="23"/>
      <c r="V1" s="23"/>
      <c r="W1" s="23"/>
    </row>
    <row r="2" spans="1:23" ht="20.25" customHeight="1" x14ac:dyDescent="0.15">
      <c r="A2" s="33"/>
      <c r="B2" s="14" t="s">
        <v>3</v>
      </c>
      <c r="C2" s="14" t="s">
        <v>4</v>
      </c>
      <c r="D2" s="14" t="s">
        <v>5</v>
      </c>
      <c r="E2" s="33" t="s">
        <v>6</v>
      </c>
      <c r="F2" s="14" t="s">
        <v>7</v>
      </c>
      <c r="G2" s="27" t="s">
        <v>8</v>
      </c>
      <c r="H2" s="15"/>
      <c r="I2" s="33"/>
      <c r="J2" s="14" t="s">
        <v>3</v>
      </c>
      <c r="K2" s="14" t="s">
        <v>4</v>
      </c>
      <c r="L2" s="14" t="s">
        <v>5</v>
      </c>
      <c r="M2" s="33" t="s">
        <v>6</v>
      </c>
      <c r="N2" s="14" t="s">
        <v>7</v>
      </c>
      <c r="O2" s="27" t="s">
        <v>8</v>
      </c>
      <c r="P2" s="15"/>
      <c r="Q2" s="33"/>
      <c r="R2" s="14" t="s">
        <v>3</v>
      </c>
      <c r="S2" s="14" t="s">
        <v>4</v>
      </c>
      <c r="T2" s="14" t="s">
        <v>5</v>
      </c>
      <c r="U2" s="33" t="s">
        <v>6</v>
      </c>
      <c r="V2" s="14" t="s">
        <v>7</v>
      </c>
      <c r="W2" s="27" t="s">
        <v>8</v>
      </c>
    </row>
    <row r="3" spans="1:23" ht="32.25" customHeight="1" x14ac:dyDescent="0.15">
      <c r="A3" s="40">
        <v>0</v>
      </c>
      <c r="B3" s="10">
        <v>0.66</v>
      </c>
      <c r="C3" s="16">
        <v>0.65</v>
      </c>
      <c r="D3" s="16">
        <v>0.65</v>
      </c>
      <c r="E3" s="34">
        <v>192</v>
      </c>
      <c r="F3" s="16" t="s">
        <v>274</v>
      </c>
      <c r="G3" s="28">
        <v>0.60373858447488504</v>
      </c>
      <c r="H3" s="15"/>
      <c r="I3" s="40">
        <v>0</v>
      </c>
      <c r="J3" s="10">
        <v>0.68</v>
      </c>
      <c r="K3" s="16">
        <v>0.62</v>
      </c>
      <c r="L3" s="16">
        <v>0.65</v>
      </c>
      <c r="M3" s="34">
        <v>1075</v>
      </c>
      <c r="N3" s="16" t="s">
        <v>289</v>
      </c>
      <c r="O3" s="28">
        <v>0.63172028198687302</v>
      </c>
      <c r="P3" s="15"/>
      <c r="Q3" s="40">
        <v>0</v>
      </c>
      <c r="R3" s="10">
        <v>0.73</v>
      </c>
      <c r="S3" s="16">
        <v>0.54</v>
      </c>
      <c r="T3" s="16">
        <v>0.62</v>
      </c>
      <c r="U3" s="34">
        <v>986</v>
      </c>
      <c r="V3" s="16" t="s">
        <v>307</v>
      </c>
      <c r="W3" s="28">
        <v>0.66738602387689605</v>
      </c>
    </row>
    <row r="4" spans="1:23" ht="20" customHeight="1" x14ac:dyDescent="0.15">
      <c r="A4" s="41">
        <v>1</v>
      </c>
      <c r="B4" s="11">
        <v>0.55000000000000004</v>
      </c>
      <c r="C4" s="12">
        <v>0.56000000000000005</v>
      </c>
      <c r="D4" s="12">
        <v>0.55000000000000004</v>
      </c>
      <c r="E4" s="35">
        <v>146</v>
      </c>
      <c r="F4" s="12" t="s">
        <v>275</v>
      </c>
      <c r="G4" s="29"/>
      <c r="H4" s="15"/>
      <c r="I4" s="41">
        <v>1</v>
      </c>
      <c r="J4" s="11">
        <v>0.57999999999999996</v>
      </c>
      <c r="K4" s="12">
        <v>0.64</v>
      </c>
      <c r="L4" s="12">
        <v>0.61</v>
      </c>
      <c r="M4" s="35">
        <v>861</v>
      </c>
      <c r="N4" s="12" t="s">
        <v>290</v>
      </c>
      <c r="O4" s="29"/>
      <c r="P4" s="15"/>
      <c r="Q4" s="41">
        <v>1</v>
      </c>
      <c r="R4" s="11">
        <v>0.63</v>
      </c>
      <c r="S4" s="12">
        <v>0.8</v>
      </c>
      <c r="T4" s="12">
        <v>0.7</v>
      </c>
      <c r="U4" s="35">
        <v>962</v>
      </c>
      <c r="V4" s="12" t="s">
        <v>308</v>
      </c>
      <c r="W4" s="29"/>
    </row>
    <row r="5" spans="1:23" ht="20" customHeight="1" x14ac:dyDescent="0.15">
      <c r="A5" s="42" t="s">
        <v>95</v>
      </c>
      <c r="B5" s="11" t="s">
        <v>96</v>
      </c>
      <c r="C5" s="12" t="s">
        <v>96</v>
      </c>
      <c r="D5" s="21">
        <v>0.61</v>
      </c>
      <c r="E5" s="35">
        <v>338</v>
      </c>
      <c r="F5" s="12"/>
      <c r="G5" s="29"/>
      <c r="H5" s="15"/>
      <c r="I5" s="42" t="s">
        <v>95</v>
      </c>
      <c r="J5" s="11" t="s">
        <v>96</v>
      </c>
      <c r="K5" s="12" t="s">
        <v>96</v>
      </c>
      <c r="L5" s="21">
        <v>0.63</v>
      </c>
      <c r="M5" s="35">
        <v>1936</v>
      </c>
      <c r="N5" s="12"/>
      <c r="O5" s="29"/>
      <c r="P5" s="15"/>
      <c r="Q5" s="42" t="s">
        <v>95</v>
      </c>
      <c r="R5" s="11" t="s">
        <v>96</v>
      </c>
      <c r="S5" s="12" t="s">
        <v>96</v>
      </c>
      <c r="T5" s="21">
        <v>0.67</v>
      </c>
      <c r="U5" s="35">
        <v>1948</v>
      </c>
      <c r="V5" s="12"/>
      <c r="W5" s="29"/>
    </row>
    <row r="6" spans="1:23" ht="20" customHeight="1" x14ac:dyDescent="0.15">
      <c r="A6" s="42" t="s">
        <v>97</v>
      </c>
      <c r="B6" s="11">
        <v>0.6</v>
      </c>
      <c r="C6" s="12">
        <v>0.6</v>
      </c>
      <c r="D6" s="12">
        <v>0.6</v>
      </c>
      <c r="E6" s="35">
        <v>338</v>
      </c>
      <c r="F6" s="12"/>
      <c r="G6" s="29"/>
      <c r="H6" s="15"/>
      <c r="I6" s="42" t="s">
        <v>97</v>
      </c>
      <c r="J6" s="11">
        <v>0.63</v>
      </c>
      <c r="K6" s="12">
        <v>0.63</v>
      </c>
      <c r="L6" s="12">
        <v>0.63</v>
      </c>
      <c r="M6" s="35">
        <v>1936</v>
      </c>
      <c r="N6" s="12"/>
      <c r="O6" s="29"/>
      <c r="P6" s="15"/>
      <c r="Q6" s="42" t="s">
        <v>97</v>
      </c>
      <c r="R6" s="11">
        <v>0.68</v>
      </c>
      <c r="S6" s="12">
        <v>0.67</v>
      </c>
      <c r="T6" s="12">
        <v>0.66</v>
      </c>
      <c r="U6" s="35">
        <v>1948</v>
      </c>
      <c r="V6" s="12"/>
      <c r="W6" s="29"/>
    </row>
    <row r="7" spans="1:23" ht="20" customHeight="1" x14ac:dyDescent="0.15">
      <c r="A7" s="42" t="s">
        <v>98</v>
      </c>
      <c r="B7" s="11">
        <v>0.61</v>
      </c>
      <c r="C7" s="12">
        <v>0.61</v>
      </c>
      <c r="D7" s="12">
        <v>0.61</v>
      </c>
      <c r="E7" s="35">
        <v>338</v>
      </c>
      <c r="F7" s="12"/>
      <c r="G7" s="29"/>
      <c r="H7" s="15"/>
      <c r="I7" s="42" t="s">
        <v>98</v>
      </c>
      <c r="J7" s="11">
        <v>0.64</v>
      </c>
      <c r="K7" s="12">
        <v>0.63</v>
      </c>
      <c r="L7" s="12">
        <v>0.63</v>
      </c>
      <c r="M7" s="35">
        <v>1936</v>
      </c>
      <c r="N7" s="12"/>
      <c r="O7" s="29"/>
      <c r="P7" s="15"/>
      <c r="Q7" s="42" t="s">
        <v>98</v>
      </c>
      <c r="R7" s="11">
        <v>0.68</v>
      </c>
      <c r="S7" s="12">
        <v>0.67</v>
      </c>
      <c r="T7" s="12">
        <v>0.66</v>
      </c>
      <c r="U7" s="35">
        <v>1948</v>
      </c>
      <c r="V7" s="12"/>
      <c r="W7" s="29"/>
    </row>
    <row r="8" spans="1:23" ht="14.75" customHeight="1" x14ac:dyDescent="0.15">
      <c r="A8" s="43"/>
      <c r="B8" s="17"/>
      <c r="C8" s="17"/>
      <c r="D8" s="17"/>
      <c r="E8" s="36"/>
      <c r="F8" s="17"/>
      <c r="G8" s="30"/>
      <c r="H8" s="18"/>
      <c r="I8" s="43"/>
      <c r="J8" s="17"/>
      <c r="K8" s="17"/>
      <c r="L8" s="17"/>
      <c r="M8" s="36"/>
      <c r="N8" s="17"/>
      <c r="O8" s="30"/>
      <c r="P8" s="18"/>
      <c r="Q8" s="43"/>
      <c r="R8" s="17"/>
      <c r="S8" s="17"/>
      <c r="T8" s="17"/>
      <c r="U8" s="36"/>
      <c r="V8" s="17"/>
      <c r="W8" s="30"/>
    </row>
    <row r="9" spans="1:23" ht="27.75" customHeight="1" x14ac:dyDescent="0.15">
      <c r="A9" s="24" t="s">
        <v>9</v>
      </c>
      <c r="B9" s="25"/>
      <c r="C9" s="25"/>
      <c r="D9" s="25"/>
      <c r="E9" s="25"/>
      <c r="F9" s="25"/>
      <c r="G9" s="25"/>
      <c r="H9" s="18"/>
      <c r="I9" s="24" t="s">
        <v>10</v>
      </c>
      <c r="J9" s="25"/>
      <c r="K9" s="25"/>
      <c r="L9" s="25"/>
      <c r="M9" s="25"/>
      <c r="N9" s="25"/>
      <c r="O9" s="25"/>
      <c r="P9" s="18"/>
      <c r="Q9" s="24" t="s">
        <v>11</v>
      </c>
      <c r="R9" s="25"/>
      <c r="S9" s="25"/>
      <c r="T9" s="25"/>
      <c r="U9" s="25"/>
      <c r="V9" s="25"/>
      <c r="W9" s="25"/>
    </row>
    <row r="10" spans="1:23" ht="20.25" customHeight="1" x14ac:dyDescent="0.15">
      <c r="A10" s="33"/>
      <c r="B10" s="14" t="s">
        <v>3</v>
      </c>
      <c r="C10" s="14" t="s">
        <v>4</v>
      </c>
      <c r="D10" s="14" t="s">
        <v>5</v>
      </c>
      <c r="E10" s="33" t="s">
        <v>6</v>
      </c>
      <c r="F10" s="14" t="s">
        <v>7</v>
      </c>
      <c r="G10" s="27" t="s">
        <v>8</v>
      </c>
      <c r="H10" s="15"/>
      <c r="I10" s="33"/>
      <c r="J10" s="14" t="s">
        <v>3</v>
      </c>
      <c r="K10" s="14" t="s">
        <v>4</v>
      </c>
      <c r="L10" s="14" t="s">
        <v>5</v>
      </c>
      <c r="M10" s="33" t="s">
        <v>6</v>
      </c>
      <c r="N10" s="14" t="s">
        <v>7</v>
      </c>
      <c r="O10" s="27" t="s">
        <v>8</v>
      </c>
      <c r="P10" s="15"/>
      <c r="Q10" s="33"/>
      <c r="R10" s="14" t="s">
        <v>3</v>
      </c>
      <c r="S10" s="14" t="s">
        <v>4</v>
      </c>
      <c r="T10" s="14" t="s">
        <v>5</v>
      </c>
      <c r="U10" s="33" t="s">
        <v>6</v>
      </c>
      <c r="V10" s="14" t="s">
        <v>7</v>
      </c>
      <c r="W10" s="27" t="s">
        <v>8</v>
      </c>
    </row>
    <row r="11" spans="1:23" ht="32.25" customHeight="1" x14ac:dyDescent="0.15">
      <c r="A11" s="40">
        <v>0</v>
      </c>
      <c r="B11" s="1">
        <v>0.66</v>
      </c>
      <c r="C11" s="2">
        <v>0.75</v>
      </c>
      <c r="D11" s="2">
        <v>0.7</v>
      </c>
      <c r="E11" s="37">
        <v>192</v>
      </c>
      <c r="F11" s="19" t="s">
        <v>276</v>
      </c>
      <c r="G11" s="5">
        <v>0.61815068493150604</v>
      </c>
      <c r="H11" s="15"/>
      <c r="I11" s="40">
        <v>0</v>
      </c>
      <c r="J11" s="1">
        <v>0.66</v>
      </c>
      <c r="K11" s="2">
        <v>0.67</v>
      </c>
      <c r="L11" s="2">
        <v>0.67</v>
      </c>
      <c r="M11" s="37">
        <v>1075</v>
      </c>
      <c r="N11" s="19" t="s">
        <v>291</v>
      </c>
      <c r="O11" s="5">
        <v>0.62257407557464195</v>
      </c>
      <c r="P11" s="15"/>
      <c r="Q11" s="40">
        <v>0</v>
      </c>
      <c r="R11" s="1">
        <v>0.69</v>
      </c>
      <c r="S11" s="2">
        <v>0.56000000000000005</v>
      </c>
      <c r="T11" s="2">
        <v>0.62</v>
      </c>
      <c r="U11" s="37">
        <v>986</v>
      </c>
      <c r="V11" s="19" t="s">
        <v>309</v>
      </c>
      <c r="W11" s="5">
        <v>0.65157843910379398</v>
      </c>
    </row>
    <row r="12" spans="1:23" ht="20" customHeight="1" x14ac:dyDescent="0.15">
      <c r="A12" s="41">
        <v>1</v>
      </c>
      <c r="B12" s="3">
        <v>0.6</v>
      </c>
      <c r="C12" s="4">
        <v>0.49</v>
      </c>
      <c r="D12" s="4">
        <v>0.54</v>
      </c>
      <c r="E12" s="38">
        <v>146</v>
      </c>
      <c r="F12" s="4" t="s">
        <v>277</v>
      </c>
      <c r="G12" s="31"/>
      <c r="H12" s="15"/>
      <c r="I12" s="41">
        <v>1</v>
      </c>
      <c r="J12" s="3">
        <v>0.57999999999999996</v>
      </c>
      <c r="K12" s="4">
        <v>0.56999999999999995</v>
      </c>
      <c r="L12" s="4">
        <v>0.57999999999999996</v>
      </c>
      <c r="M12" s="38">
        <v>861</v>
      </c>
      <c r="N12" s="4" t="s">
        <v>292</v>
      </c>
      <c r="O12" s="31"/>
      <c r="P12" s="15"/>
      <c r="Q12" s="41">
        <v>1</v>
      </c>
      <c r="R12" s="3">
        <v>0.62</v>
      </c>
      <c r="S12" s="4">
        <v>0.75</v>
      </c>
      <c r="T12" s="4">
        <v>0.68</v>
      </c>
      <c r="U12" s="38">
        <v>962</v>
      </c>
      <c r="V12" s="4" t="s">
        <v>310</v>
      </c>
      <c r="W12" s="31"/>
    </row>
    <row r="13" spans="1:23" ht="20" customHeight="1" x14ac:dyDescent="0.15">
      <c r="A13" s="42" t="s">
        <v>95</v>
      </c>
      <c r="B13" s="3" t="s">
        <v>96</v>
      </c>
      <c r="C13" s="4" t="s">
        <v>96</v>
      </c>
      <c r="D13" s="4">
        <v>0.64</v>
      </c>
      <c r="E13" s="38">
        <v>338</v>
      </c>
      <c r="F13" s="4"/>
      <c r="G13" s="31"/>
      <c r="H13" s="15"/>
      <c r="I13" s="42" t="s">
        <v>95</v>
      </c>
      <c r="J13" s="3" t="s">
        <v>96</v>
      </c>
      <c r="K13" s="4" t="s">
        <v>96</v>
      </c>
      <c r="L13" s="4">
        <v>0.63</v>
      </c>
      <c r="M13" s="38">
        <v>1936</v>
      </c>
      <c r="N13" s="4"/>
      <c r="O13" s="31"/>
      <c r="P13" s="15"/>
      <c r="Q13" s="42" t="s">
        <v>95</v>
      </c>
      <c r="R13" s="3" t="s">
        <v>96</v>
      </c>
      <c r="S13" s="4" t="s">
        <v>96</v>
      </c>
      <c r="T13" s="4">
        <v>0.65</v>
      </c>
      <c r="U13" s="38">
        <v>1948</v>
      </c>
      <c r="V13" s="4"/>
      <c r="W13" s="31"/>
    </row>
    <row r="14" spans="1:23" ht="20" customHeight="1" x14ac:dyDescent="0.15">
      <c r="A14" s="42" t="s">
        <v>97</v>
      </c>
      <c r="B14" s="3">
        <v>0.63</v>
      </c>
      <c r="C14" s="4">
        <v>0.62</v>
      </c>
      <c r="D14" s="4">
        <v>0.62</v>
      </c>
      <c r="E14" s="38">
        <v>338</v>
      </c>
      <c r="F14" s="4"/>
      <c r="G14" s="31"/>
      <c r="H14" s="15"/>
      <c r="I14" s="42" t="s">
        <v>97</v>
      </c>
      <c r="J14" s="3">
        <v>0.62</v>
      </c>
      <c r="K14" s="4">
        <v>0.62</v>
      </c>
      <c r="L14" s="4">
        <v>0.62</v>
      </c>
      <c r="M14" s="38">
        <v>1936</v>
      </c>
      <c r="N14" s="4"/>
      <c r="O14" s="31"/>
      <c r="P14" s="15"/>
      <c r="Q14" s="42" t="s">
        <v>97</v>
      </c>
      <c r="R14" s="3">
        <v>0.66</v>
      </c>
      <c r="S14" s="4">
        <v>0.65</v>
      </c>
      <c r="T14" s="4">
        <v>0.65</v>
      </c>
      <c r="U14" s="38">
        <v>1948</v>
      </c>
      <c r="V14" s="4"/>
      <c r="W14" s="31"/>
    </row>
    <row r="15" spans="1:23" ht="20" customHeight="1" x14ac:dyDescent="0.15">
      <c r="A15" s="42" t="s">
        <v>98</v>
      </c>
      <c r="B15" s="3">
        <v>0.63</v>
      </c>
      <c r="C15" s="4">
        <v>0.64</v>
      </c>
      <c r="D15" s="4">
        <v>0.63</v>
      </c>
      <c r="E15" s="38">
        <v>338</v>
      </c>
      <c r="F15" s="4"/>
      <c r="G15" s="31"/>
      <c r="H15" s="15"/>
      <c r="I15" s="42" t="s">
        <v>98</v>
      </c>
      <c r="J15" s="3">
        <v>0.63</v>
      </c>
      <c r="K15" s="4">
        <v>0.63</v>
      </c>
      <c r="L15" s="4">
        <v>0.63</v>
      </c>
      <c r="M15" s="38">
        <v>1936</v>
      </c>
      <c r="N15" s="4"/>
      <c r="O15" s="31"/>
      <c r="P15" s="15"/>
      <c r="Q15" s="42" t="s">
        <v>98</v>
      </c>
      <c r="R15" s="3">
        <v>0.66</v>
      </c>
      <c r="S15" s="4">
        <v>0.65</v>
      </c>
      <c r="T15" s="4">
        <v>0.65</v>
      </c>
      <c r="U15" s="38">
        <v>1948</v>
      </c>
      <c r="V15" s="4"/>
      <c r="W15" s="31"/>
    </row>
    <row r="16" spans="1:23" ht="14.75" customHeight="1" x14ac:dyDescent="0.15">
      <c r="A16" s="43"/>
      <c r="B16" s="17"/>
      <c r="C16" s="17"/>
      <c r="D16" s="17"/>
      <c r="E16" s="36"/>
      <c r="F16" s="17"/>
      <c r="G16" s="30"/>
      <c r="H16" s="18"/>
      <c r="I16" s="43"/>
      <c r="J16" s="17"/>
      <c r="K16" s="17"/>
      <c r="L16" s="17"/>
      <c r="M16" s="36"/>
      <c r="N16" s="17"/>
      <c r="O16" s="30"/>
      <c r="P16" s="18"/>
      <c r="Q16" s="43"/>
      <c r="R16" s="17"/>
      <c r="S16" s="17"/>
      <c r="T16" s="17"/>
      <c r="U16" s="36"/>
      <c r="V16" s="17"/>
      <c r="W16" s="30"/>
    </row>
    <row r="17" spans="1:23" ht="27.75" customHeight="1" x14ac:dyDescent="0.15">
      <c r="A17" s="24" t="s">
        <v>12</v>
      </c>
      <c r="B17" s="25"/>
      <c r="C17" s="25"/>
      <c r="D17" s="25"/>
      <c r="E17" s="25"/>
      <c r="F17" s="25"/>
      <c r="G17" s="25"/>
      <c r="H17" s="18"/>
      <c r="I17" s="24" t="s">
        <v>13</v>
      </c>
      <c r="J17" s="25"/>
      <c r="K17" s="25"/>
      <c r="L17" s="25"/>
      <c r="M17" s="25"/>
      <c r="N17" s="25"/>
      <c r="O17" s="25"/>
      <c r="P17" s="18"/>
      <c r="Q17" s="24" t="s">
        <v>14</v>
      </c>
      <c r="R17" s="25"/>
      <c r="S17" s="25"/>
      <c r="T17" s="25"/>
      <c r="U17" s="25"/>
      <c r="V17" s="25"/>
      <c r="W17" s="25"/>
    </row>
    <row r="18" spans="1:23" ht="20.25" customHeight="1" x14ac:dyDescent="0.15">
      <c r="A18" s="33"/>
      <c r="B18" s="14" t="s">
        <v>3</v>
      </c>
      <c r="C18" s="14" t="s">
        <v>4</v>
      </c>
      <c r="D18" s="14" t="s">
        <v>5</v>
      </c>
      <c r="E18" s="33" t="s">
        <v>6</v>
      </c>
      <c r="F18" s="14" t="s">
        <v>7</v>
      </c>
      <c r="G18" s="27" t="s">
        <v>8</v>
      </c>
      <c r="H18" s="15"/>
      <c r="I18" s="33"/>
      <c r="J18" s="14" t="s">
        <v>3</v>
      </c>
      <c r="K18" s="14" t="s">
        <v>4</v>
      </c>
      <c r="L18" s="14" t="s">
        <v>5</v>
      </c>
      <c r="M18" s="33" t="s">
        <v>6</v>
      </c>
      <c r="N18" s="14" t="s">
        <v>7</v>
      </c>
      <c r="O18" s="27" t="s">
        <v>8</v>
      </c>
      <c r="P18" s="15"/>
      <c r="Q18" s="33"/>
      <c r="R18" s="14" t="s">
        <v>3</v>
      </c>
      <c r="S18" s="14" t="s">
        <v>4</v>
      </c>
      <c r="T18" s="14" t="s">
        <v>5</v>
      </c>
      <c r="U18" s="33" t="s">
        <v>6</v>
      </c>
      <c r="V18" s="14" t="s">
        <v>7</v>
      </c>
      <c r="W18" s="27" t="s">
        <v>8</v>
      </c>
    </row>
    <row r="19" spans="1:23" ht="32.25" customHeight="1" x14ac:dyDescent="0.15">
      <c r="A19" s="40">
        <v>0</v>
      </c>
      <c r="B19" s="1">
        <v>0.7</v>
      </c>
      <c r="C19" s="2">
        <v>0.28000000000000003</v>
      </c>
      <c r="D19" s="2">
        <v>0.4</v>
      </c>
      <c r="E19" s="37">
        <v>192</v>
      </c>
      <c r="F19" s="2" t="s">
        <v>278</v>
      </c>
      <c r="G19" s="5">
        <v>0.55925371004566204</v>
      </c>
      <c r="H19" s="15"/>
      <c r="I19" s="40">
        <v>0</v>
      </c>
      <c r="J19" s="1">
        <v>0.57999999999999996</v>
      </c>
      <c r="K19" s="2">
        <v>0.01</v>
      </c>
      <c r="L19" s="2">
        <v>0.01</v>
      </c>
      <c r="M19" s="37">
        <v>1075</v>
      </c>
      <c r="N19" s="2" t="s">
        <v>293</v>
      </c>
      <c r="O19" s="5">
        <v>0.50035221348891201</v>
      </c>
      <c r="P19" s="15"/>
      <c r="Q19" s="40">
        <v>0</v>
      </c>
      <c r="R19" s="1">
        <v>0.66</v>
      </c>
      <c r="S19" s="2">
        <v>0.38</v>
      </c>
      <c r="T19" s="2">
        <v>0.48</v>
      </c>
      <c r="U19" s="37">
        <v>986</v>
      </c>
      <c r="V19" s="2" t="s">
        <v>311</v>
      </c>
      <c r="W19" s="5">
        <v>0.58825321654936202</v>
      </c>
    </row>
    <row r="20" spans="1:23" ht="20" customHeight="1" x14ac:dyDescent="0.15">
      <c r="A20" s="41">
        <v>1</v>
      </c>
      <c r="B20" s="3">
        <v>0.47</v>
      </c>
      <c r="C20" s="4">
        <v>0.84</v>
      </c>
      <c r="D20" s="4">
        <v>0.6</v>
      </c>
      <c r="E20" s="38">
        <v>146</v>
      </c>
      <c r="F20" s="4" t="s">
        <v>279</v>
      </c>
      <c r="G20" s="31"/>
      <c r="H20" s="15"/>
      <c r="I20" s="41">
        <v>1</v>
      </c>
      <c r="J20" s="3">
        <v>0.44</v>
      </c>
      <c r="K20" s="4">
        <v>0.99</v>
      </c>
      <c r="L20" s="4">
        <v>0.61</v>
      </c>
      <c r="M20" s="38">
        <v>861</v>
      </c>
      <c r="N20" s="4" t="s">
        <v>294</v>
      </c>
      <c r="O20" s="31"/>
      <c r="P20" s="15"/>
      <c r="Q20" s="41">
        <v>1</v>
      </c>
      <c r="R20" s="3">
        <v>0.56000000000000005</v>
      </c>
      <c r="S20" s="4">
        <v>0.79</v>
      </c>
      <c r="T20" s="4">
        <v>0.65</v>
      </c>
      <c r="U20" s="38">
        <v>962</v>
      </c>
      <c r="V20" s="4" t="s">
        <v>312</v>
      </c>
      <c r="W20" s="31"/>
    </row>
    <row r="21" spans="1:23" ht="20" customHeight="1" x14ac:dyDescent="0.15">
      <c r="A21" s="42" t="s">
        <v>95</v>
      </c>
      <c r="B21" s="3" t="s">
        <v>96</v>
      </c>
      <c r="C21" s="4" t="s">
        <v>96</v>
      </c>
      <c r="D21" s="4">
        <v>0.52</v>
      </c>
      <c r="E21" s="38">
        <v>338</v>
      </c>
      <c r="F21" s="4"/>
      <c r="G21" s="31"/>
      <c r="H21" s="15"/>
      <c r="I21" s="42" t="s">
        <v>95</v>
      </c>
      <c r="J21" s="3" t="s">
        <v>96</v>
      </c>
      <c r="K21" s="4" t="s">
        <v>96</v>
      </c>
      <c r="L21" s="4">
        <v>0.45</v>
      </c>
      <c r="M21" s="38">
        <v>1936</v>
      </c>
      <c r="N21" s="4"/>
      <c r="O21" s="31"/>
      <c r="P21" s="15"/>
      <c r="Q21" s="42" t="s">
        <v>95</v>
      </c>
      <c r="R21" s="3" t="s">
        <v>96</v>
      </c>
      <c r="S21" s="4" t="s">
        <v>96</v>
      </c>
      <c r="T21" s="4">
        <v>0.59</v>
      </c>
      <c r="U21" s="38">
        <v>1948</v>
      </c>
      <c r="V21" s="4"/>
      <c r="W21" s="31"/>
    </row>
    <row r="22" spans="1:23" ht="20" customHeight="1" x14ac:dyDescent="0.15">
      <c r="A22" s="42" t="s">
        <v>97</v>
      </c>
      <c r="B22" s="3">
        <v>0.57999999999999996</v>
      </c>
      <c r="C22" s="4">
        <v>0.56000000000000005</v>
      </c>
      <c r="D22" s="4">
        <v>0.5</v>
      </c>
      <c r="E22" s="38">
        <v>338</v>
      </c>
      <c r="F22" s="4"/>
      <c r="G22" s="31"/>
      <c r="H22" s="15"/>
      <c r="I22" s="42" t="s">
        <v>97</v>
      </c>
      <c r="J22" s="3">
        <v>0.51</v>
      </c>
      <c r="K22" s="4">
        <v>0.5</v>
      </c>
      <c r="L22" s="4">
        <v>0.31</v>
      </c>
      <c r="M22" s="38">
        <v>1936</v>
      </c>
      <c r="N22" s="4"/>
      <c r="O22" s="31"/>
      <c r="P22" s="15"/>
      <c r="Q22" s="42" t="s">
        <v>97</v>
      </c>
      <c r="R22" s="3">
        <v>0.61</v>
      </c>
      <c r="S22" s="4">
        <v>0.59</v>
      </c>
      <c r="T22" s="4">
        <v>0.56999999999999995</v>
      </c>
      <c r="U22" s="38">
        <v>1948</v>
      </c>
      <c r="V22" s="4"/>
      <c r="W22" s="31"/>
    </row>
    <row r="23" spans="1:23" ht="20" customHeight="1" x14ac:dyDescent="0.15">
      <c r="A23" s="42" t="s">
        <v>98</v>
      </c>
      <c r="B23" s="3">
        <v>0.6</v>
      </c>
      <c r="C23" s="4">
        <v>0.52</v>
      </c>
      <c r="D23" s="4">
        <v>0.49</v>
      </c>
      <c r="E23" s="38">
        <v>338</v>
      </c>
      <c r="F23" s="4"/>
      <c r="G23" s="31"/>
      <c r="H23" s="15"/>
      <c r="I23" s="42" t="s">
        <v>98</v>
      </c>
      <c r="J23" s="3">
        <v>0.52</v>
      </c>
      <c r="K23" s="4">
        <v>0.45</v>
      </c>
      <c r="L23" s="4">
        <v>0.28000000000000003</v>
      </c>
      <c r="M23" s="38">
        <v>1936</v>
      </c>
      <c r="N23" s="4"/>
      <c r="O23" s="31"/>
      <c r="P23" s="15"/>
      <c r="Q23" s="42" t="s">
        <v>98</v>
      </c>
      <c r="R23" s="3">
        <v>0.61</v>
      </c>
      <c r="S23" s="4">
        <v>0.59</v>
      </c>
      <c r="T23" s="4">
        <v>0.56999999999999995</v>
      </c>
      <c r="U23" s="38">
        <v>1948</v>
      </c>
      <c r="V23" s="4"/>
      <c r="W23" s="31"/>
    </row>
    <row r="24" spans="1:23" ht="14.75" customHeight="1" x14ac:dyDescent="0.15">
      <c r="A24" s="43"/>
      <c r="B24" s="17"/>
      <c r="C24" s="17"/>
      <c r="D24" s="17"/>
      <c r="E24" s="36"/>
      <c r="F24" s="17"/>
      <c r="G24" s="30"/>
      <c r="H24" s="18"/>
      <c r="I24" s="43"/>
      <c r="J24" s="17"/>
      <c r="K24" s="17"/>
      <c r="L24" s="17"/>
      <c r="M24" s="36"/>
      <c r="N24" s="17"/>
      <c r="O24" s="30"/>
      <c r="P24" s="18"/>
      <c r="Q24" s="43"/>
      <c r="R24" s="17"/>
      <c r="S24" s="17"/>
      <c r="T24" s="17"/>
      <c r="U24" s="36"/>
      <c r="V24" s="17"/>
      <c r="W24" s="30"/>
    </row>
    <row r="25" spans="1:23" ht="27.75" customHeight="1" x14ac:dyDescent="0.15">
      <c r="A25" s="24" t="s">
        <v>15</v>
      </c>
      <c r="B25" s="25"/>
      <c r="C25" s="25"/>
      <c r="D25" s="25"/>
      <c r="E25" s="25"/>
      <c r="F25" s="25"/>
      <c r="G25" s="25"/>
      <c r="H25" s="18"/>
      <c r="I25" s="24" t="s">
        <v>16</v>
      </c>
      <c r="J25" s="25"/>
      <c r="K25" s="25"/>
      <c r="L25" s="25"/>
      <c r="M25" s="25"/>
      <c r="N25" s="25"/>
      <c r="O25" s="25"/>
      <c r="P25" s="18"/>
      <c r="Q25" s="24" t="s">
        <v>17</v>
      </c>
      <c r="R25" s="25"/>
      <c r="S25" s="25"/>
      <c r="T25" s="25"/>
      <c r="U25" s="25"/>
      <c r="V25" s="25"/>
      <c r="W25" s="25"/>
    </row>
    <row r="26" spans="1:23" ht="32.25" customHeight="1" x14ac:dyDescent="0.15">
      <c r="A26" s="33"/>
      <c r="B26" s="14" t="s">
        <v>3</v>
      </c>
      <c r="C26" s="14" t="s">
        <v>4</v>
      </c>
      <c r="D26" s="14" t="s">
        <v>5</v>
      </c>
      <c r="E26" s="33" t="s">
        <v>6</v>
      </c>
      <c r="F26" s="14" t="s">
        <v>7</v>
      </c>
      <c r="G26" s="27" t="s">
        <v>8</v>
      </c>
      <c r="H26" s="15"/>
      <c r="I26" s="33"/>
      <c r="J26" s="14" t="s">
        <v>3</v>
      </c>
      <c r="K26" s="14" t="s">
        <v>4</v>
      </c>
      <c r="L26" s="14" t="s">
        <v>5</v>
      </c>
      <c r="M26" s="33" t="s">
        <v>6</v>
      </c>
      <c r="N26" s="14" t="s">
        <v>7</v>
      </c>
      <c r="O26" s="27" t="s">
        <v>8</v>
      </c>
      <c r="P26" s="15"/>
      <c r="Q26" s="33"/>
      <c r="R26" s="14" t="s">
        <v>3</v>
      </c>
      <c r="S26" s="14" t="s">
        <v>4</v>
      </c>
      <c r="T26" s="14" t="s">
        <v>5</v>
      </c>
      <c r="U26" s="33" t="s">
        <v>6</v>
      </c>
      <c r="V26" s="14" t="s">
        <v>7</v>
      </c>
      <c r="W26" s="27" t="s">
        <v>8</v>
      </c>
    </row>
    <row r="27" spans="1:23" ht="20" customHeight="1" x14ac:dyDescent="0.15">
      <c r="A27" s="40">
        <v>0</v>
      </c>
      <c r="B27" s="1">
        <v>0.56999999999999995</v>
      </c>
      <c r="C27" s="2">
        <v>0.69</v>
      </c>
      <c r="D27" s="2">
        <v>0.63</v>
      </c>
      <c r="E27" s="37">
        <v>163</v>
      </c>
      <c r="F27" s="2" t="s">
        <v>280</v>
      </c>
      <c r="G27" s="5">
        <v>0.60641542506573098</v>
      </c>
      <c r="H27" s="15"/>
      <c r="I27" s="40">
        <v>0</v>
      </c>
      <c r="J27" s="1">
        <v>0.6</v>
      </c>
      <c r="K27" s="2">
        <v>0.67</v>
      </c>
      <c r="L27" s="2">
        <v>0.63</v>
      </c>
      <c r="M27" s="37">
        <v>932</v>
      </c>
      <c r="N27" s="2" t="s">
        <v>295</v>
      </c>
      <c r="O27" s="5">
        <v>0.63042679069131102</v>
      </c>
      <c r="P27" s="15"/>
      <c r="Q27" s="40">
        <v>0</v>
      </c>
      <c r="R27" s="1">
        <v>0.69</v>
      </c>
      <c r="S27" s="2">
        <v>0.53</v>
      </c>
      <c r="T27" s="2">
        <v>0.6</v>
      </c>
      <c r="U27" s="37">
        <v>810</v>
      </c>
      <c r="V27" s="2" t="s">
        <v>313</v>
      </c>
      <c r="W27" s="5">
        <v>0.67904380654819996</v>
      </c>
    </row>
    <row r="28" spans="1:23" ht="20" customHeight="1" x14ac:dyDescent="0.15">
      <c r="A28" s="41">
        <v>1</v>
      </c>
      <c r="B28" s="3">
        <v>0.64</v>
      </c>
      <c r="C28" s="4">
        <v>0.53</v>
      </c>
      <c r="D28" s="4">
        <v>0.57999999999999996</v>
      </c>
      <c r="E28" s="38">
        <v>175</v>
      </c>
      <c r="F28" s="4" t="s">
        <v>281</v>
      </c>
      <c r="G28" s="31"/>
      <c r="H28" s="15"/>
      <c r="I28" s="41">
        <v>1</v>
      </c>
      <c r="J28" s="3">
        <v>0.66</v>
      </c>
      <c r="K28" s="4">
        <v>0.6</v>
      </c>
      <c r="L28" s="4">
        <v>0.62</v>
      </c>
      <c r="M28" s="38">
        <v>1004</v>
      </c>
      <c r="N28" s="4" t="s">
        <v>296</v>
      </c>
      <c r="O28" s="31"/>
      <c r="P28" s="15"/>
      <c r="Q28" s="41">
        <v>1</v>
      </c>
      <c r="R28" s="3">
        <v>0.71</v>
      </c>
      <c r="S28" s="4">
        <v>0.83</v>
      </c>
      <c r="T28" s="4">
        <v>0.77</v>
      </c>
      <c r="U28" s="38">
        <v>1138</v>
      </c>
      <c r="V28" s="4" t="s">
        <v>314</v>
      </c>
      <c r="W28" s="31"/>
    </row>
    <row r="29" spans="1:23" ht="20" customHeight="1" x14ac:dyDescent="0.15">
      <c r="A29" s="42" t="s">
        <v>95</v>
      </c>
      <c r="B29" s="3" t="s">
        <v>96</v>
      </c>
      <c r="C29" s="4" t="s">
        <v>96</v>
      </c>
      <c r="D29" s="4">
        <v>0.6</v>
      </c>
      <c r="E29" s="38">
        <v>338</v>
      </c>
      <c r="F29" s="4"/>
      <c r="G29" s="31"/>
      <c r="H29" s="15"/>
      <c r="I29" s="42" t="s">
        <v>95</v>
      </c>
      <c r="J29" s="3" t="s">
        <v>96</v>
      </c>
      <c r="K29" s="4" t="s">
        <v>96</v>
      </c>
      <c r="L29" s="4">
        <v>0.63</v>
      </c>
      <c r="M29" s="38">
        <v>1936</v>
      </c>
      <c r="N29" s="4"/>
      <c r="O29" s="31"/>
      <c r="P29" s="15"/>
      <c r="Q29" s="42" t="s">
        <v>95</v>
      </c>
      <c r="R29" s="3" t="s">
        <v>96</v>
      </c>
      <c r="S29" s="4" t="s">
        <v>96</v>
      </c>
      <c r="T29" s="4">
        <v>0.7</v>
      </c>
      <c r="U29" s="38">
        <v>1948</v>
      </c>
      <c r="V29" s="4"/>
      <c r="W29" s="31"/>
    </row>
    <row r="30" spans="1:23" ht="20" customHeight="1" x14ac:dyDescent="0.15">
      <c r="A30" s="42" t="s">
        <v>97</v>
      </c>
      <c r="B30" s="3">
        <v>0.61</v>
      </c>
      <c r="C30" s="4">
        <v>0.61</v>
      </c>
      <c r="D30" s="4">
        <v>0.6</v>
      </c>
      <c r="E30" s="38">
        <v>338</v>
      </c>
      <c r="F30" s="4"/>
      <c r="G30" s="31"/>
      <c r="H30" s="15"/>
      <c r="I30" s="42" t="s">
        <v>97</v>
      </c>
      <c r="J30" s="3">
        <v>0.63</v>
      </c>
      <c r="K30" s="4">
        <v>0.63</v>
      </c>
      <c r="L30" s="4">
        <v>0.63</v>
      </c>
      <c r="M30" s="38">
        <v>1936</v>
      </c>
      <c r="N30" s="4"/>
      <c r="O30" s="31"/>
      <c r="P30" s="15"/>
      <c r="Q30" s="42" t="s">
        <v>97</v>
      </c>
      <c r="R30" s="3">
        <v>0.7</v>
      </c>
      <c r="S30" s="4">
        <v>0.68</v>
      </c>
      <c r="T30" s="4">
        <v>0.68</v>
      </c>
      <c r="U30" s="38">
        <v>1948</v>
      </c>
      <c r="V30" s="4"/>
      <c r="W30" s="31"/>
    </row>
    <row r="31" spans="1:23" ht="20" customHeight="1" x14ac:dyDescent="0.15">
      <c r="A31" s="42" t="s">
        <v>98</v>
      </c>
      <c r="B31" s="3">
        <v>0.61</v>
      </c>
      <c r="C31" s="4">
        <v>0.6</v>
      </c>
      <c r="D31" s="4">
        <v>0.6</v>
      </c>
      <c r="E31" s="38">
        <v>338</v>
      </c>
      <c r="F31" s="4"/>
      <c r="G31" s="31"/>
      <c r="H31" s="15"/>
      <c r="I31" s="42" t="s">
        <v>98</v>
      </c>
      <c r="J31" s="3">
        <v>0.63</v>
      </c>
      <c r="K31" s="4">
        <v>0.63</v>
      </c>
      <c r="L31" s="4">
        <v>0.63</v>
      </c>
      <c r="M31" s="38">
        <v>1936</v>
      </c>
      <c r="N31" s="4"/>
      <c r="O31" s="31"/>
      <c r="P31" s="15"/>
      <c r="Q31" s="42" t="s">
        <v>98</v>
      </c>
      <c r="R31" s="3">
        <v>0.7</v>
      </c>
      <c r="S31" s="4">
        <v>0.7</v>
      </c>
      <c r="T31" s="4">
        <v>0.7</v>
      </c>
      <c r="U31" s="38">
        <v>1948</v>
      </c>
      <c r="V31" s="4"/>
      <c r="W31" s="31"/>
    </row>
    <row r="32" spans="1:23" ht="27.75" customHeight="1" x14ac:dyDescent="0.15">
      <c r="A32" s="43"/>
      <c r="B32" s="17"/>
      <c r="C32" s="17"/>
      <c r="D32" s="17"/>
      <c r="E32" s="36"/>
      <c r="F32" s="17"/>
      <c r="G32" s="30"/>
      <c r="H32" s="18"/>
      <c r="I32" s="43"/>
      <c r="J32" s="17"/>
      <c r="K32" s="17"/>
      <c r="L32" s="17"/>
      <c r="M32" s="36"/>
      <c r="N32" s="17"/>
      <c r="O32" s="30"/>
      <c r="P32" s="18"/>
      <c r="Q32" s="43"/>
      <c r="R32" s="17"/>
      <c r="S32" s="17"/>
      <c r="T32" s="17"/>
      <c r="U32" s="36"/>
      <c r="V32" s="17"/>
      <c r="W32" s="30"/>
    </row>
    <row r="33" spans="1:23" ht="20.25" customHeight="1" x14ac:dyDescent="0.15">
      <c r="A33" s="24" t="s">
        <v>18</v>
      </c>
      <c r="B33" s="25"/>
      <c r="C33" s="25"/>
      <c r="D33" s="25"/>
      <c r="E33" s="25"/>
      <c r="F33" s="25"/>
      <c r="G33" s="25"/>
      <c r="H33" s="18"/>
      <c r="I33" s="24" t="s">
        <v>19</v>
      </c>
      <c r="J33" s="25"/>
      <c r="K33" s="25"/>
      <c r="L33" s="25"/>
      <c r="M33" s="25"/>
      <c r="N33" s="25"/>
      <c r="O33" s="25"/>
      <c r="P33" s="18"/>
      <c r="Q33" s="24" t="s">
        <v>20</v>
      </c>
      <c r="R33" s="25"/>
      <c r="S33" s="25"/>
      <c r="T33" s="25"/>
      <c r="U33" s="25"/>
      <c r="V33" s="25"/>
      <c r="W33" s="25"/>
    </row>
    <row r="34" spans="1:23" ht="32.25" customHeight="1" x14ac:dyDescent="0.15">
      <c r="A34" s="33"/>
      <c r="B34" s="14" t="s">
        <v>3</v>
      </c>
      <c r="C34" s="14" t="s">
        <v>4</v>
      </c>
      <c r="D34" s="14" t="s">
        <v>5</v>
      </c>
      <c r="E34" s="33" t="s">
        <v>6</v>
      </c>
      <c r="F34" s="14" t="s">
        <v>7</v>
      </c>
      <c r="G34" s="27" t="s">
        <v>8</v>
      </c>
      <c r="H34" s="15"/>
      <c r="I34" s="33"/>
      <c r="J34" s="14" t="s">
        <v>3</v>
      </c>
      <c r="K34" s="14" t="s">
        <v>4</v>
      </c>
      <c r="L34" s="14" t="s">
        <v>5</v>
      </c>
      <c r="M34" s="33" t="s">
        <v>6</v>
      </c>
      <c r="N34" s="14" t="s">
        <v>7</v>
      </c>
      <c r="O34" s="27" t="s">
        <v>8</v>
      </c>
      <c r="P34" s="15"/>
      <c r="Q34" s="33"/>
      <c r="R34" s="14" t="s">
        <v>3</v>
      </c>
      <c r="S34" s="14" t="s">
        <v>4</v>
      </c>
      <c r="T34" s="14" t="s">
        <v>5</v>
      </c>
      <c r="U34" s="33" t="s">
        <v>6</v>
      </c>
      <c r="V34" s="14" t="s">
        <v>7</v>
      </c>
      <c r="W34" s="27" t="s">
        <v>8</v>
      </c>
    </row>
    <row r="35" spans="1:23" ht="20" customHeight="1" x14ac:dyDescent="0.15">
      <c r="A35" s="40">
        <v>0</v>
      </c>
      <c r="B35" s="1">
        <v>0.57999999999999996</v>
      </c>
      <c r="C35" s="2">
        <v>0.75</v>
      </c>
      <c r="D35" s="2">
        <v>0.66</v>
      </c>
      <c r="E35" s="37">
        <v>163</v>
      </c>
      <c r="F35" s="2" t="s">
        <v>231</v>
      </c>
      <c r="G35" s="5">
        <v>0.625872042068361</v>
      </c>
      <c r="H35" s="15"/>
      <c r="I35" s="40">
        <v>0</v>
      </c>
      <c r="J35" s="1">
        <v>0.59</v>
      </c>
      <c r="K35" s="2">
        <v>0.65</v>
      </c>
      <c r="L35" s="2">
        <v>0.62</v>
      </c>
      <c r="M35" s="37">
        <v>932</v>
      </c>
      <c r="N35" s="2" t="s">
        <v>297</v>
      </c>
      <c r="O35" s="5">
        <v>0.61939153258211699</v>
      </c>
      <c r="P35" s="15"/>
      <c r="Q35" s="40">
        <v>0</v>
      </c>
      <c r="R35" s="1">
        <v>0.63</v>
      </c>
      <c r="S35" s="2">
        <v>0.55000000000000004</v>
      </c>
      <c r="T35" s="2">
        <v>0.59</v>
      </c>
      <c r="U35" s="37">
        <v>810</v>
      </c>
      <c r="V35" s="2" t="s">
        <v>315</v>
      </c>
      <c r="W35" s="5">
        <v>0.65878192193365004</v>
      </c>
    </row>
    <row r="36" spans="1:23" ht="20" customHeight="1" x14ac:dyDescent="0.15">
      <c r="A36" s="41">
        <v>1</v>
      </c>
      <c r="B36" s="3">
        <v>0.69</v>
      </c>
      <c r="C36" s="4">
        <v>0.5</v>
      </c>
      <c r="D36" s="4">
        <v>0.57999999999999996</v>
      </c>
      <c r="E36" s="38">
        <v>175</v>
      </c>
      <c r="F36" s="4" t="s">
        <v>282</v>
      </c>
      <c r="G36" s="31"/>
      <c r="H36" s="15"/>
      <c r="I36" s="41">
        <v>1</v>
      </c>
      <c r="J36" s="3">
        <v>0.64</v>
      </c>
      <c r="K36" s="4">
        <v>0.59</v>
      </c>
      <c r="L36" s="4">
        <v>0.62</v>
      </c>
      <c r="M36" s="38">
        <v>1004</v>
      </c>
      <c r="N36" s="4" t="s">
        <v>298</v>
      </c>
      <c r="O36" s="31"/>
      <c r="P36" s="15"/>
      <c r="Q36" s="41">
        <v>1</v>
      </c>
      <c r="R36" s="3">
        <v>0.7</v>
      </c>
      <c r="S36" s="4">
        <v>0.77</v>
      </c>
      <c r="T36" s="4">
        <v>0.74</v>
      </c>
      <c r="U36" s="38">
        <v>1138</v>
      </c>
      <c r="V36" s="4" t="s">
        <v>316</v>
      </c>
      <c r="W36" s="31"/>
    </row>
    <row r="37" spans="1:23" ht="20" customHeight="1" x14ac:dyDescent="0.15">
      <c r="A37" s="42" t="s">
        <v>95</v>
      </c>
      <c r="B37" s="3" t="s">
        <v>96</v>
      </c>
      <c r="C37" s="4" t="s">
        <v>96</v>
      </c>
      <c r="D37" s="4">
        <v>0.62</v>
      </c>
      <c r="E37" s="38">
        <v>338</v>
      </c>
      <c r="F37" s="4"/>
      <c r="G37" s="31"/>
      <c r="H37" s="15"/>
      <c r="I37" s="42" t="s">
        <v>95</v>
      </c>
      <c r="J37" s="3" t="s">
        <v>96</v>
      </c>
      <c r="K37" s="4" t="s">
        <v>96</v>
      </c>
      <c r="L37" s="4">
        <v>0.62</v>
      </c>
      <c r="M37" s="38">
        <v>1936</v>
      </c>
      <c r="N37" s="4"/>
      <c r="O37" s="31"/>
      <c r="P37" s="15"/>
      <c r="Q37" s="42" t="s">
        <v>95</v>
      </c>
      <c r="R37" s="3" t="s">
        <v>96</v>
      </c>
      <c r="S37" s="4" t="s">
        <v>96</v>
      </c>
      <c r="T37" s="4">
        <v>0.68</v>
      </c>
      <c r="U37" s="38">
        <v>1948</v>
      </c>
      <c r="V37" s="4"/>
      <c r="W37" s="31"/>
    </row>
    <row r="38" spans="1:23" ht="20" customHeight="1" x14ac:dyDescent="0.15">
      <c r="A38" s="42" t="s">
        <v>97</v>
      </c>
      <c r="B38" s="3">
        <v>0.63</v>
      </c>
      <c r="C38" s="4">
        <v>0.63</v>
      </c>
      <c r="D38" s="4">
        <v>0.62</v>
      </c>
      <c r="E38" s="38">
        <v>338</v>
      </c>
      <c r="F38" s="4"/>
      <c r="G38" s="31"/>
      <c r="H38" s="15"/>
      <c r="I38" s="42" t="s">
        <v>97</v>
      </c>
      <c r="J38" s="3">
        <v>0.62</v>
      </c>
      <c r="K38" s="4">
        <v>0.62</v>
      </c>
      <c r="L38" s="4">
        <v>0.62</v>
      </c>
      <c r="M38" s="38">
        <v>1936</v>
      </c>
      <c r="N38" s="4"/>
      <c r="O38" s="31"/>
      <c r="P38" s="15"/>
      <c r="Q38" s="42" t="s">
        <v>97</v>
      </c>
      <c r="R38" s="3">
        <v>0.67</v>
      </c>
      <c r="S38" s="4">
        <v>0.66</v>
      </c>
      <c r="T38" s="4">
        <v>0.66</v>
      </c>
      <c r="U38" s="38">
        <v>1948</v>
      </c>
      <c r="V38" s="4"/>
      <c r="W38" s="31"/>
    </row>
    <row r="39" spans="1:23" ht="20" customHeight="1" x14ac:dyDescent="0.15">
      <c r="A39" s="42" t="s">
        <v>98</v>
      </c>
      <c r="B39" s="3">
        <v>0.64</v>
      </c>
      <c r="C39" s="4">
        <v>0.62</v>
      </c>
      <c r="D39" s="4">
        <v>0.62</v>
      </c>
      <c r="E39" s="38">
        <v>338</v>
      </c>
      <c r="F39" s="4"/>
      <c r="G39" s="31"/>
      <c r="H39" s="15"/>
      <c r="I39" s="42" t="s">
        <v>98</v>
      </c>
      <c r="J39" s="3">
        <v>0.62</v>
      </c>
      <c r="K39" s="4">
        <v>0.62</v>
      </c>
      <c r="L39" s="4">
        <v>0.62</v>
      </c>
      <c r="M39" s="38">
        <v>1936</v>
      </c>
      <c r="N39" s="4"/>
      <c r="O39" s="31"/>
      <c r="P39" s="15"/>
      <c r="Q39" s="42" t="s">
        <v>98</v>
      </c>
      <c r="R39" s="3">
        <v>0.67</v>
      </c>
      <c r="S39" s="4">
        <v>0.68</v>
      </c>
      <c r="T39" s="4">
        <v>0.67</v>
      </c>
      <c r="U39" s="38">
        <v>1948</v>
      </c>
      <c r="V39" s="4"/>
      <c r="W39" s="31"/>
    </row>
    <row r="40" spans="1:23" ht="27.75" customHeight="1" x14ac:dyDescent="0.15">
      <c r="A40" s="43"/>
      <c r="B40" s="17"/>
      <c r="C40" s="17"/>
      <c r="D40" s="17"/>
      <c r="E40" s="36"/>
      <c r="F40" s="17"/>
      <c r="G40" s="30"/>
      <c r="H40" s="18"/>
      <c r="I40" s="43"/>
      <c r="J40" s="17"/>
      <c r="K40" s="17"/>
      <c r="L40" s="17"/>
      <c r="M40" s="36"/>
      <c r="N40" s="17"/>
      <c r="O40" s="30"/>
      <c r="P40" s="18"/>
      <c r="Q40" s="43"/>
      <c r="R40" s="17"/>
      <c r="S40" s="17"/>
      <c r="T40" s="17"/>
      <c r="U40" s="36"/>
      <c r="V40" s="17"/>
      <c r="W40" s="30"/>
    </row>
    <row r="41" spans="1:23" ht="20.25" customHeight="1" x14ac:dyDescent="0.15">
      <c r="A41" s="24" t="s">
        <v>21</v>
      </c>
      <c r="B41" s="25"/>
      <c r="C41" s="25"/>
      <c r="D41" s="25"/>
      <c r="E41" s="25"/>
      <c r="F41" s="25"/>
      <c r="G41" s="25"/>
      <c r="H41" s="18"/>
      <c r="I41" s="24" t="s">
        <v>22</v>
      </c>
      <c r="J41" s="25"/>
      <c r="K41" s="25"/>
      <c r="L41" s="25"/>
      <c r="M41" s="25"/>
      <c r="N41" s="25"/>
      <c r="O41" s="25"/>
      <c r="P41" s="18"/>
      <c r="Q41" s="24" t="s">
        <v>23</v>
      </c>
      <c r="R41" s="25"/>
      <c r="S41" s="25"/>
      <c r="T41" s="25"/>
      <c r="U41" s="25"/>
      <c r="V41" s="25"/>
      <c r="W41" s="25"/>
    </row>
    <row r="42" spans="1:23" ht="20" customHeight="1" x14ac:dyDescent="0.15">
      <c r="A42" s="33"/>
      <c r="B42" s="14" t="s">
        <v>3</v>
      </c>
      <c r="C42" s="14" t="s">
        <v>4</v>
      </c>
      <c r="D42" s="14" t="s">
        <v>5</v>
      </c>
      <c r="E42" s="33" t="s">
        <v>6</v>
      </c>
      <c r="F42" s="14" t="s">
        <v>7</v>
      </c>
      <c r="G42" s="27" t="s">
        <v>8</v>
      </c>
      <c r="H42" s="15"/>
      <c r="I42" s="33"/>
      <c r="J42" s="14" t="s">
        <v>3</v>
      </c>
      <c r="K42" s="14" t="s">
        <v>4</v>
      </c>
      <c r="L42" s="14" t="s">
        <v>5</v>
      </c>
      <c r="M42" s="33" t="s">
        <v>6</v>
      </c>
      <c r="N42" s="14" t="s">
        <v>7</v>
      </c>
      <c r="O42" s="27" t="s">
        <v>8</v>
      </c>
      <c r="P42" s="15"/>
      <c r="Q42" s="33"/>
      <c r="R42" s="14" t="s">
        <v>3</v>
      </c>
      <c r="S42" s="14" t="s">
        <v>4</v>
      </c>
      <c r="T42" s="14" t="s">
        <v>5</v>
      </c>
      <c r="U42" s="33" t="s">
        <v>6</v>
      </c>
      <c r="V42" s="14" t="s">
        <v>7</v>
      </c>
      <c r="W42" s="27" t="s">
        <v>8</v>
      </c>
    </row>
    <row r="43" spans="1:23" ht="20" customHeight="1" x14ac:dyDescent="0.15">
      <c r="A43" s="40">
        <v>0</v>
      </c>
      <c r="B43" s="1">
        <v>0.46</v>
      </c>
      <c r="C43" s="2">
        <v>0.36</v>
      </c>
      <c r="D43" s="2">
        <v>0.4</v>
      </c>
      <c r="E43" s="37">
        <v>163</v>
      </c>
      <c r="F43" s="2" t="s">
        <v>283</v>
      </c>
      <c r="G43" s="5">
        <v>0.48077125328658998</v>
      </c>
      <c r="H43" s="15"/>
      <c r="I43" s="40">
        <v>0</v>
      </c>
      <c r="J43" s="1">
        <v>0.56999999999999995</v>
      </c>
      <c r="K43" s="2">
        <v>0.05</v>
      </c>
      <c r="L43" s="2">
        <v>0.09</v>
      </c>
      <c r="M43" s="37">
        <v>932</v>
      </c>
      <c r="N43" s="2" t="s">
        <v>299</v>
      </c>
      <c r="O43" s="5">
        <v>0.50774584067164796</v>
      </c>
      <c r="P43" s="15"/>
      <c r="Q43" s="40">
        <v>0</v>
      </c>
      <c r="R43" s="1">
        <v>0.57999999999999996</v>
      </c>
      <c r="S43" s="2">
        <v>0.3</v>
      </c>
      <c r="T43" s="2">
        <v>0.39</v>
      </c>
      <c r="U43" s="37">
        <v>810</v>
      </c>
      <c r="V43" s="2" t="s">
        <v>317</v>
      </c>
      <c r="W43" s="5">
        <v>0.57231551997222696</v>
      </c>
    </row>
    <row r="44" spans="1:23" ht="20" customHeight="1" x14ac:dyDescent="0.15">
      <c r="A44" s="41">
        <v>1</v>
      </c>
      <c r="B44" s="3">
        <v>0.5</v>
      </c>
      <c r="C44" s="4">
        <v>0.61</v>
      </c>
      <c r="D44" s="4">
        <v>0.55000000000000004</v>
      </c>
      <c r="E44" s="38">
        <v>175</v>
      </c>
      <c r="F44" s="4" t="s">
        <v>284</v>
      </c>
      <c r="G44" s="31"/>
      <c r="H44" s="15"/>
      <c r="I44" s="41">
        <v>1</v>
      </c>
      <c r="J44" s="3">
        <v>0.52</v>
      </c>
      <c r="K44" s="4">
        <v>0.97</v>
      </c>
      <c r="L44" s="4">
        <v>0.68</v>
      </c>
      <c r="M44" s="38">
        <v>1004</v>
      </c>
      <c r="N44" s="4" t="s">
        <v>300</v>
      </c>
      <c r="O44" s="31"/>
      <c r="P44" s="15"/>
      <c r="Q44" s="41">
        <v>1</v>
      </c>
      <c r="R44" s="3">
        <v>0.63</v>
      </c>
      <c r="S44" s="4">
        <v>0.85</v>
      </c>
      <c r="T44" s="4">
        <v>0.72</v>
      </c>
      <c r="U44" s="38">
        <v>1138</v>
      </c>
      <c r="V44" s="4" t="s">
        <v>318</v>
      </c>
      <c r="W44" s="31"/>
    </row>
    <row r="45" spans="1:23" ht="20" customHeight="1" x14ac:dyDescent="0.15">
      <c r="A45" s="42" t="s">
        <v>95</v>
      </c>
      <c r="B45" s="3" t="s">
        <v>96</v>
      </c>
      <c r="C45" s="4" t="s">
        <v>96</v>
      </c>
      <c r="D45" s="4">
        <v>0.49</v>
      </c>
      <c r="E45" s="38">
        <v>338</v>
      </c>
      <c r="F45" s="4"/>
      <c r="G45" s="31"/>
      <c r="H45" s="15"/>
      <c r="I45" s="42" t="s">
        <v>95</v>
      </c>
      <c r="J45" s="3" t="s">
        <v>96</v>
      </c>
      <c r="K45" s="4" t="s">
        <v>96</v>
      </c>
      <c r="L45" s="4">
        <v>0.52</v>
      </c>
      <c r="M45" s="38">
        <v>1936</v>
      </c>
      <c r="N45" s="4"/>
      <c r="O45" s="31"/>
      <c r="P45" s="15"/>
      <c r="Q45" s="42" t="s">
        <v>95</v>
      </c>
      <c r="R45" s="3" t="s">
        <v>96</v>
      </c>
      <c r="S45" s="4" t="s">
        <v>96</v>
      </c>
      <c r="T45" s="4">
        <v>0.62</v>
      </c>
      <c r="U45" s="38">
        <v>1948</v>
      </c>
      <c r="V45" s="4"/>
      <c r="W45" s="31"/>
    </row>
    <row r="46" spans="1:23" ht="20" customHeight="1" x14ac:dyDescent="0.15">
      <c r="A46" s="42" t="s">
        <v>97</v>
      </c>
      <c r="B46" s="3">
        <v>0.48</v>
      </c>
      <c r="C46" s="4">
        <v>0.48</v>
      </c>
      <c r="D46" s="4">
        <v>0.47</v>
      </c>
      <c r="E46" s="38">
        <v>338</v>
      </c>
      <c r="F46" s="4"/>
      <c r="G46" s="31"/>
      <c r="H46" s="15"/>
      <c r="I46" s="42" t="s">
        <v>97</v>
      </c>
      <c r="J46" s="3">
        <v>0.55000000000000004</v>
      </c>
      <c r="K46" s="4">
        <v>0.51</v>
      </c>
      <c r="L46" s="4">
        <v>0.38</v>
      </c>
      <c r="M46" s="38">
        <v>1936</v>
      </c>
      <c r="N46" s="4"/>
      <c r="O46" s="31"/>
      <c r="P46" s="15"/>
      <c r="Q46" s="42" t="s">
        <v>97</v>
      </c>
      <c r="R46" s="3">
        <v>0.6</v>
      </c>
      <c r="S46" s="4">
        <v>0.56999999999999995</v>
      </c>
      <c r="T46" s="4">
        <v>0.56000000000000005</v>
      </c>
      <c r="U46" s="38">
        <v>1948</v>
      </c>
      <c r="V46" s="4"/>
      <c r="W46" s="31"/>
    </row>
    <row r="47" spans="1:23" ht="27.75" customHeight="1" x14ac:dyDescent="0.15">
      <c r="A47" s="42" t="s">
        <v>98</v>
      </c>
      <c r="B47" s="3">
        <v>0.48</v>
      </c>
      <c r="C47" s="4">
        <v>0.49</v>
      </c>
      <c r="D47" s="4">
        <v>0.48</v>
      </c>
      <c r="E47" s="38">
        <v>338</v>
      </c>
      <c r="F47" s="4"/>
      <c r="G47" s="31"/>
      <c r="H47" s="15"/>
      <c r="I47" s="42" t="s">
        <v>98</v>
      </c>
      <c r="J47" s="3">
        <v>0.55000000000000004</v>
      </c>
      <c r="K47" s="4">
        <v>0.52</v>
      </c>
      <c r="L47" s="4">
        <v>0.4</v>
      </c>
      <c r="M47" s="38">
        <v>1936</v>
      </c>
      <c r="N47" s="4"/>
      <c r="O47" s="31"/>
      <c r="P47" s="15"/>
      <c r="Q47" s="42" t="s">
        <v>98</v>
      </c>
      <c r="R47" s="3">
        <v>0.61</v>
      </c>
      <c r="S47" s="4">
        <v>0.62</v>
      </c>
      <c r="T47" s="4">
        <v>0.59</v>
      </c>
      <c r="U47" s="38">
        <v>1948</v>
      </c>
      <c r="V47" s="4"/>
      <c r="W47" s="31"/>
    </row>
    <row r="48" spans="1:23" ht="20.25" customHeight="1" x14ac:dyDescent="0.15">
      <c r="A48" s="43"/>
      <c r="B48" s="17"/>
      <c r="C48" s="17"/>
      <c r="D48" s="17"/>
      <c r="E48" s="36"/>
      <c r="F48" s="17"/>
      <c r="G48" s="30"/>
      <c r="H48" s="18"/>
      <c r="I48" s="43"/>
      <c r="J48" s="17"/>
      <c r="K48" s="17"/>
      <c r="L48" s="17"/>
      <c r="M48" s="36"/>
      <c r="N48" s="17"/>
      <c r="O48" s="30"/>
      <c r="P48" s="18"/>
      <c r="Q48" s="43"/>
      <c r="R48" s="17"/>
      <c r="S48" s="17"/>
      <c r="T48" s="17"/>
      <c r="U48" s="36"/>
      <c r="V48" s="17"/>
      <c r="W48" s="30"/>
    </row>
    <row r="49" spans="1:23" ht="32.25" customHeight="1" x14ac:dyDescent="0.15">
      <c r="A49" s="24" t="s">
        <v>24</v>
      </c>
      <c r="B49" s="25"/>
      <c r="C49" s="25"/>
      <c r="D49" s="25"/>
      <c r="E49" s="25"/>
      <c r="F49" s="25"/>
      <c r="G49" s="25"/>
      <c r="H49" s="18"/>
      <c r="I49" s="24" t="s">
        <v>25</v>
      </c>
      <c r="J49" s="25"/>
      <c r="K49" s="25"/>
      <c r="L49" s="25"/>
      <c r="M49" s="25"/>
      <c r="N49" s="25"/>
      <c r="O49" s="25"/>
      <c r="P49" s="18"/>
      <c r="Q49" s="24" t="s">
        <v>26</v>
      </c>
      <c r="R49" s="25"/>
      <c r="S49" s="25"/>
      <c r="T49" s="25"/>
      <c r="U49" s="25"/>
      <c r="V49" s="25"/>
      <c r="W49" s="25"/>
    </row>
    <row r="50" spans="1:23" ht="20" customHeight="1" x14ac:dyDescent="0.15">
      <c r="A50" s="33"/>
      <c r="B50" s="14" t="s">
        <v>3</v>
      </c>
      <c r="C50" s="14" t="s">
        <v>4</v>
      </c>
      <c r="D50" s="14" t="s">
        <v>5</v>
      </c>
      <c r="E50" s="33" t="s">
        <v>6</v>
      </c>
      <c r="F50" s="14" t="s">
        <v>7</v>
      </c>
      <c r="G50" s="27" t="s">
        <v>8</v>
      </c>
      <c r="H50" s="15"/>
      <c r="I50" s="33"/>
      <c r="J50" s="14" t="s">
        <v>3</v>
      </c>
      <c r="K50" s="14" t="s">
        <v>4</v>
      </c>
      <c r="L50" s="14" t="s">
        <v>5</v>
      </c>
      <c r="M50" s="33" t="s">
        <v>6</v>
      </c>
      <c r="N50" s="14" t="s">
        <v>7</v>
      </c>
      <c r="O50" s="27" t="s">
        <v>8</v>
      </c>
      <c r="P50" s="15"/>
      <c r="Q50" s="33"/>
      <c r="R50" s="14" t="s">
        <v>3</v>
      </c>
      <c r="S50" s="14" t="s">
        <v>4</v>
      </c>
      <c r="T50" s="14" t="s">
        <v>5</v>
      </c>
      <c r="U50" s="33" t="s">
        <v>6</v>
      </c>
      <c r="V50" s="14" t="s">
        <v>7</v>
      </c>
      <c r="W50" s="27" t="s">
        <v>8</v>
      </c>
    </row>
    <row r="51" spans="1:23" ht="20" customHeight="1" x14ac:dyDescent="0.15">
      <c r="A51" s="40">
        <v>0</v>
      </c>
      <c r="B51" s="1">
        <v>0.64</v>
      </c>
      <c r="C51" s="2">
        <v>0.39</v>
      </c>
      <c r="D51" s="2">
        <v>0.48</v>
      </c>
      <c r="E51" s="37">
        <v>163</v>
      </c>
      <c r="F51" s="2" t="s">
        <v>236</v>
      </c>
      <c r="G51" s="5">
        <v>0.59039439088518797</v>
      </c>
      <c r="H51" s="15"/>
      <c r="I51" s="40">
        <v>0</v>
      </c>
      <c r="J51" s="1">
        <v>0.67</v>
      </c>
      <c r="K51" s="2">
        <v>0.28000000000000003</v>
      </c>
      <c r="L51" s="2">
        <v>0.4</v>
      </c>
      <c r="M51" s="37">
        <v>915</v>
      </c>
      <c r="N51" s="2" t="s">
        <v>301</v>
      </c>
      <c r="O51" s="5">
        <v>0.57835669519329003</v>
      </c>
      <c r="P51" s="15"/>
      <c r="Q51" s="40">
        <v>0</v>
      </c>
      <c r="R51" s="1">
        <v>0.67</v>
      </c>
      <c r="S51" s="2">
        <v>0.34</v>
      </c>
      <c r="T51" s="2">
        <v>0.45</v>
      </c>
      <c r="U51" s="37">
        <v>881</v>
      </c>
      <c r="V51" s="2" t="s">
        <v>319</v>
      </c>
      <c r="W51" s="5">
        <v>0.60051200657002402</v>
      </c>
    </row>
    <row r="52" spans="1:23" ht="20" customHeight="1" x14ac:dyDescent="0.15">
      <c r="A52" s="41">
        <v>1</v>
      </c>
      <c r="B52" s="3">
        <v>0.57999999999999996</v>
      </c>
      <c r="C52" s="4">
        <v>0.79</v>
      </c>
      <c r="D52" s="4">
        <v>0.67</v>
      </c>
      <c r="E52" s="38">
        <v>175</v>
      </c>
      <c r="F52" s="4" t="s">
        <v>285</v>
      </c>
      <c r="G52" s="31"/>
      <c r="H52" s="15"/>
      <c r="I52" s="41">
        <v>1</v>
      </c>
      <c r="J52" s="3">
        <v>0.57999999999999996</v>
      </c>
      <c r="K52" s="4">
        <v>0.87</v>
      </c>
      <c r="L52" s="4">
        <v>0.69</v>
      </c>
      <c r="M52" s="38">
        <v>1021</v>
      </c>
      <c r="N52" s="4" t="s">
        <v>302</v>
      </c>
      <c r="O52" s="31"/>
      <c r="P52" s="15"/>
      <c r="Q52" s="41">
        <v>1</v>
      </c>
      <c r="R52" s="3">
        <v>0.61</v>
      </c>
      <c r="S52" s="4">
        <v>0.87</v>
      </c>
      <c r="T52" s="4">
        <v>0.72</v>
      </c>
      <c r="U52" s="38">
        <v>1067</v>
      </c>
      <c r="V52" s="4" t="s">
        <v>320</v>
      </c>
      <c r="W52" s="31"/>
    </row>
    <row r="53" spans="1:23" ht="20" customHeight="1" x14ac:dyDescent="0.15">
      <c r="A53" s="42" t="s">
        <v>95</v>
      </c>
      <c r="B53" s="3" t="s">
        <v>96</v>
      </c>
      <c r="C53" s="4" t="s">
        <v>96</v>
      </c>
      <c r="D53" s="4">
        <v>0.6</v>
      </c>
      <c r="E53" s="38">
        <v>338</v>
      </c>
      <c r="F53" s="4"/>
      <c r="G53" s="31"/>
      <c r="H53" s="15"/>
      <c r="I53" s="42" t="s">
        <v>95</v>
      </c>
      <c r="J53" s="3" t="s">
        <v>96</v>
      </c>
      <c r="K53" s="4" t="s">
        <v>96</v>
      </c>
      <c r="L53" s="4">
        <v>0.59</v>
      </c>
      <c r="M53" s="38">
        <v>1936</v>
      </c>
      <c r="N53" s="4"/>
      <c r="O53" s="31"/>
      <c r="P53" s="15"/>
      <c r="Q53" s="42" t="s">
        <v>95</v>
      </c>
      <c r="R53" s="3" t="s">
        <v>96</v>
      </c>
      <c r="S53" s="4" t="s">
        <v>96</v>
      </c>
      <c r="T53" s="4">
        <v>0.63</v>
      </c>
      <c r="U53" s="38">
        <v>1948</v>
      </c>
      <c r="V53" s="4"/>
      <c r="W53" s="31"/>
    </row>
    <row r="54" spans="1:23" ht="20" customHeight="1" x14ac:dyDescent="0.15">
      <c r="A54" s="42" t="s">
        <v>97</v>
      </c>
      <c r="B54" s="3">
        <v>0.61</v>
      </c>
      <c r="C54" s="4">
        <v>0.59</v>
      </c>
      <c r="D54" s="4">
        <v>0.57999999999999996</v>
      </c>
      <c r="E54" s="38">
        <v>338</v>
      </c>
      <c r="F54" s="4"/>
      <c r="G54" s="31"/>
      <c r="H54" s="15"/>
      <c r="I54" s="42" t="s">
        <v>97</v>
      </c>
      <c r="J54" s="3">
        <v>0.62</v>
      </c>
      <c r="K54" s="4">
        <v>0.57999999999999996</v>
      </c>
      <c r="L54" s="4">
        <v>0.55000000000000004</v>
      </c>
      <c r="M54" s="38">
        <v>1936</v>
      </c>
      <c r="N54" s="4"/>
      <c r="O54" s="31"/>
      <c r="P54" s="15"/>
      <c r="Q54" s="42" t="s">
        <v>97</v>
      </c>
      <c r="R54" s="3">
        <v>0.64</v>
      </c>
      <c r="S54" s="4">
        <v>0.6</v>
      </c>
      <c r="T54" s="4">
        <v>0.57999999999999996</v>
      </c>
      <c r="U54" s="38">
        <v>1948</v>
      </c>
      <c r="V54" s="4"/>
      <c r="W54" s="31"/>
    </row>
    <row r="55" spans="1:23" ht="27.75" customHeight="1" x14ac:dyDescent="0.15">
      <c r="A55" s="42" t="s">
        <v>98</v>
      </c>
      <c r="B55" s="3">
        <v>0.61</v>
      </c>
      <c r="C55" s="4">
        <v>0.6</v>
      </c>
      <c r="D55" s="4">
        <v>0.57999999999999996</v>
      </c>
      <c r="E55" s="38">
        <v>338</v>
      </c>
      <c r="F55" s="4"/>
      <c r="G55" s="31"/>
      <c r="H55" s="15"/>
      <c r="I55" s="42" t="s">
        <v>98</v>
      </c>
      <c r="J55" s="3">
        <v>0.62</v>
      </c>
      <c r="K55" s="4">
        <v>0.59</v>
      </c>
      <c r="L55" s="4">
        <v>0.55000000000000004</v>
      </c>
      <c r="M55" s="38">
        <v>1936</v>
      </c>
      <c r="N55" s="4"/>
      <c r="O55" s="31"/>
      <c r="P55" s="15"/>
      <c r="Q55" s="42" t="s">
        <v>98</v>
      </c>
      <c r="R55" s="3">
        <v>0.64</v>
      </c>
      <c r="S55" s="4">
        <v>0.63</v>
      </c>
      <c r="T55" s="4">
        <v>0.6</v>
      </c>
      <c r="U55" s="38">
        <v>1948</v>
      </c>
      <c r="V55" s="4"/>
      <c r="W55" s="31"/>
    </row>
    <row r="56" spans="1:23" ht="20.25" customHeight="1" x14ac:dyDescent="0.15">
      <c r="A56" s="43"/>
      <c r="B56" s="17"/>
      <c r="C56" s="17"/>
      <c r="D56" s="17"/>
      <c r="E56" s="36"/>
      <c r="F56" s="17"/>
      <c r="G56" s="30"/>
      <c r="H56" s="18"/>
      <c r="I56" s="43"/>
      <c r="J56" s="17"/>
      <c r="K56" s="17"/>
      <c r="L56" s="17"/>
      <c r="M56" s="36"/>
      <c r="N56" s="17"/>
      <c r="O56" s="30"/>
      <c r="P56" s="18"/>
      <c r="Q56" s="43"/>
      <c r="R56" s="17"/>
      <c r="S56" s="17"/>
      <c r="T56" s="17"/>
      <c r="U56" s="36"/>
      <c r="V56" s="17"/>
      <c r="W56" s="30"/>
    </row>
    <row r="57" spans="1:23" ht="32.25" customHeight="1" x14ac:dyDescent="0.15">
      <c r="A57" s="24" t="s">
        <v>27</v>
      </c>
      <c r="B57" s="25"/>
      <c r="C57" s="25"/>
      <c r="D57" s="25"/>
      <c r="E57" s="25"/>
      <c r="F57" s="25"/>
      <c r="G57" s="25"/>
      <c r="H57" s="18"/>
      <c r="I57" s="24" t="s">
        <v>28</v>
      </c>
      <c r="J57" s="25"/>
      <c r="K57" s="25"/>
      <c r="L57" s="25"/>
      <c r="M57" s="25"/>
      <c r="N57" s="25"/>
      <c r="O57" s="25"/>
      <c r="P57" s="18"/>
      <c r="Q57" s="24" t="s">
        <v>29</v>
      </c>
      <c r="R57" s="25"/>
      <c r="S57" s="25"/>
      <c r="T57" s="25"/>
      <c r="U57" s="25"/>
      <c r="V57" s="25"/>
      <c r="W57" s="25"/>
    </row>
    <row r="58" spans="1:23" ht="20" customHeight="1" x14ac:dyDescent="0.15">
      <c r="A58" s="33"/>
      <c r="B58" s="14" t="s">
        <v>3</v>
      </c>
      <c r="C58" s="14" t="s">
        <v>4</v>
      </c>
      <c r="D58" s="14" t="s">
        <v>5</v>
      </c>
      <c r="E58" s="33" t="s">
        <v>6</v>
      </c>
      <c r="F58" s="14" t="s">
        <v>7</v>
      </c>
      <c r="G58" s="27" t="s">
        <v>8</v>
      </c>
      <c r="H58" s="15"/>
      <c r="I58" s="33"/>
      <c r="J58" s="14" t="s">
        <v>3</v>
      </c>
      <c r="K58" s="14" t="s">
        <v>4</v>
      </c>
      <c r="L58" s="14" t="s">
        <v>5</v>
      </c>
      <c r="M58" s="33" t="s">
        <v>6</v>
      </c>
      <c r="N58" s="14" t="s">
        <v>7</v>
      </c>
      <c r="O58" s="27" t="s">
        <v>8</v>
      </c>
      <c r="P58" s="15"/>
      <c r="Q58" s="33"/>
      <c r="R58" s="14" t="s">
        <v>3</v>
      </c>
      <c r="S58" s="14" t="s">
        <v>4</v>
      </c>
      <c r="T58" s="14" t="s">
        <v>5</v>
      </c>
      <c r="U58" s="33" t="s">
        <v>6</v>
      </c>
      <c r="V58" s="14" t="s">
        <v>7</v>
      </c>
      <c r="W58" s="27" t="s">
        <v>8</v>
      </c>
    </row>
    <row r="59" spans="1:23" ht="20" customHeight="1" x14ac:dyDescent="0.15">
      <c r="A59" s="40">
        <v>0</v>
      </c>
      <c r="B59" s="1">
        <v>0.61</v>
      </c>
      <c r="C59" s="2">
        <v>0.56999999999999995</v>
      </c>
      <c r="D59" s="2">
        <v>0.59</v>
      </c>
      <c r="E59" s="37">
        <v>163</v>
      </c>
      <c r="F59" s="2" t="s">
        <v>286</v>
      </c>
      <c r="G59" s="5">
        <v>0.61384750219105999</v>
      </c>
      <c r="H59" s="15"/>
      <c r="I59" s="40">
        <v>0</v>
      </c>
      <c r="J59" s="1">
        <v>0.59</v>
      </c>
      <c r="K59" s="2">
        <v>0.42</v>
      </c>
      <c r="L59" s="2">
        <v>0.49</v>
      </c>
      <c r="M59" s="37">
        <v>915</v>
      </c>
      <c r="N59" s="2" t="s">
        <v>303</v>
      </c>
      <c r="O59" s="5">
        <v>0.58011806704024205</v>
      </c>
      <c r="P59" s="15"/>
      <c r="Q59" s="40">
        <v>0</v>
      </c>
      <c r="R59" s="1">
        <v>0.64</v>
      </c>
      <c r="S59" s="2">
        <v>0.38</v>
      </c>
      <c r="T59" s="2">
        <v>0.48</v>
      </c>
      <c r="U59" s="37">
        <v>881</v>
      </c>
      <c r="V59" s="2" t="s">
        <v>321</v>
      </c>
      <c r="W59" s="5">
        <v>0.60138698143776703</v>
      </c>
    </row>
    <row r="60" spans="1:23" ht="20" customHeight="1" x14ac:dyDescent="0.15">
      <c r="A60" s="41">
        <v>1</v>
      </c>
      <c r="B60" s="3">
        <v>0.62</v>
      </c>
      <c r="C60" s="4">
        <v>0.66</v>
      </c>
      <c r="D60" s="4">
        <v>0.64</v>
      </c>
      <c r="E60" s="38">
        <v>175</v>
      </c>
      <c r="F60" s="4" t="s">
        <v>287</v>
      </c>
      <c r="G60" s="31"/>
      <c r="H60" s="15"/>
      <c r="I60" s="41">
        <v>1</v>
      </c>
      <c r="J60" s="3">
        <v>0.59</v>
      </c>
      <c r="K60" s="4">
        <v>0.74</v>
      </c>
      <c r="L60" s="4">
        <v>0.65</v>
      </c>
      <c r="M60" s="38">
        <v>1021</v>
      </c>
      <c r="N60" s="4" t="s">
        <v>304</v>
      </c>
      <c r="O60" s="31"/>
      <c r="P60" s="15"/>
      <c r="Q60" s="41">
        <v>1</v>
      </c>
      <c r="R60" s="3">
        <v>0.62</v>
      </c>
      <c r="S60" s="4">
        <v>0.82</v>
      </c>
      <c r="T60" s="4">
        <v>0.7</v>
      </c>
      <c r="U60" s="38">
        <v>1067</v>
      </c>
      <c r="V60" s="4" t="s">
        <v>322</v>
      </c>
      <c r="W60" s="31"/>
    </row>
    <row r="61" spans="1:23" ht="20" customHeight="1" x14ac:dyDescent="0.15">
      <c r="A61" s="42" t="s">
        <v>95</v>
      </c>
      <c r="B61" s="3" t="s">
        <v>96</v>
      </c>
      <c r="C61" s="4" t="s">
        <v>96</v>
      </c>
      <c r="D61" s="4">
        <v>0.62</v>
      </c>
      <c r="E61" s="38">
        <v>338</v>
      </c>
      <c r="F61" s="4"/>
      <c r="G61" s="31"/>
      <c r="H61" s="15"/>
      <c r="I61" s="42" t="s">
        <v>95</v>
      </c>
      <c r="J61" s="3" t="s">
        <v>96</v>
      </c>
      <c r="K61" s="4" t="s">
        <v>96</v>
      </c>
      <c r="L61" s="4">
        <v>0.59</v>
      </c>
      <c r="M61" s="38">
        <v>1936</v>
      </c>
      <c r="N61" s="4"/>
      <c r="O61" s="31"/>
      <c r="P61" s="15"/>
      <c r="Q61" s="42" t="s">
        <v>95</v>
      </c>
      <c r="R61" s="3" t="s">
        <v>96</v>
      </c>
      <c r="S61" s="4" t="s">
        <v>96</v>
      </c>
      <c r="T61" s="4">
        <v>0.62</v>
      </c>
      <c r="U61" s="38">
        <v>1948</v>
      </c>
      <c r="V61" s="4"/>
      <c r="W61" s="31"/>
    </row>
    <row r="62" spans="1:23" ht="20" customHeight="1" x14ac:dyDescent="0.15">
      <c r="A62" s="42" t="s">
        <v>97</v>
      </c>
      <c r="B62" s="3">
        <v>0.61</v>
      </c>
      <c r="C62" s="4">
        <v>0.61</v>
      </c>
      <c r="D62" s="4">
        <v>0.61</v>
      </c>
      <c r="E62" s="38">
        <v>338</v>
      </c>
      <c r="F62" s="4"/>
      <c r="G62" s="31"/>
      <c r="H62" s="15"/>
      <c r="I62" s="42" t="s">
        <v>97</v>
      </c>
      <c r="J62" s="3">
        <v>0.59</v>
      </c>
      <c r="K62" s="4">
        <v>0.57999999999999996</v>
      </c>
      <c r="L62" s="4">
        <v>0.56999999999999995</v>
      </c>
      <c r="M62" s="38">
        <v>1936</v>
      </c>
      <c r="N62" s="4"/>
      <c r="O62" s="31"/>
      <c r="P62" s="15"/>
      <c r="Q62" s="42" t="s">
        <v>97</v>
      </c>
      <c r="R62" s="3">
        <v>0.63</v>
      </c>
      <c r="S62" s="4">
        <v>0.6</v>
      </c>
      <c r="T62" s="4">
        <v>0.59</v>
      </c>
      <c r="U62" s="38">
        <v>1948</v>
      </c>
      <c r="V62" s="4"/>
      <c r="W62" s="31"/>
    </row>
    <row r="63" spans="1:23" ht="27.75" customHeight="1" x14ac:dyDescent="0.15">
      <c r="A63" s="42" t="s">
        <v>98</v>
      </c>
      <c r="B63" s="3">
        <v>0.61</v>
      </c>
      <c r="C63" s="4">
        <v>0.62</v>
      </c>
      <c r="D63" s="4">
        <v>0.61</v>
      </c>
      <c r="E63" s="38">
        <v>338</v>
      </c>
      <c r="F63" s="4"/>
      <c r="G63" s="31"/>
      <c r="H63" s="15"/>
      <c r="I63" s="42" t="s">
        <v>98</v>
      </c>
      <c r="J63" s="3">
        <v>0.59</v>
      </c>
      <c r="K63" s="4">
        <v>0.59</v>
      </c>
      <c r="L63" s="4">
        <v>0.57999999999999996</v>
      </c>
      <c r="M63" s="38">
        <v>1936</v>
      </c>
      <c r="N63" s="4"/>
      <c r="O63" s="31"/>
      <c r="P63" s="15"/>
      <c r="Q63" s="42" t="s">
        <v>98</v>
      </c>
      <c r="R63" s="3">
        <v>0.63</v>
      </c>
      <c r="S63" s="4">
        <v>0.62</v>
      </c>
      <c r="T63" s="4">
        <v>0.6</v>
      </c>
      <c r="U63" s="38">
        <v>1948</v>
      </c>
      <c r="V63" s="4"/>
      <c r="W63" s="31"/>
    </row>
    <row r="64" spans="1:23" ht="20.25" customHeight="1" x14ac:dyDescent="0.15">
      <c r="A64" s="43"/>
      <c r="B64" s="17"/>
      <c r="C64" s="17"/>
      <c r="D64" s="17"/>
      <c r="E64" s="36"/>
      <c r="F64" s="17"/>
      <c r="G64" s="30"/>
      <c r="H64" s="18"/>
      <c r="I64" s="43"/>
      <c r="J64" s="17"/>
      <c r="K64" s="17"/>
      <c r="L64" s="17"/>
      <c r="M64" s="36"/>
      <c r="N64" s="17"/>
      <c r="O64" s="30"/>
      <c r="P64" s="18"/>
      <c r="Q64" s="43"/>
      <c r="R64" s="17"/>
      <c r="S64" s="17"/>
      <c r="T64" s="17"/>
      <c r="U64" s="36"/>
      <c r="V64" s="17"/>
      <c r="W64" s="30"/>
    </row>
    <row r="65" spans="1:23" ht="32.25" customHeight="1" x14ac:dyDescent="0.15">
      <c r="A65" s="24" t="s">
        <v>30</v>
      </c>
      <c r="B65" s="25"/>
      <c r="C65" s="25"/>
      <c r="D65" s="25"/>
      <c r="E65" s="25"/>
      <c r="F65" s="25"/>
      <c r="G65" s="25"/>
      <c r="H65" s="18"/>
      <c r="I65" s="24" t="s">
        <v>31</v>
      </c>
      <c r="J65" s="25"/>
      <c r="K65" s="25"/>
      <c r="L65" s="25"/>
      <c r="M65" s="25"/>
      <c r="N65" s="25"/>
      <c r="O65" s="25"/>
      <c r="P65" s="18"/>
      <c r="Q65" s="24" t="s">
        <v>32</v>
      </c>
      <c r="R65" s="25"/>
      <c r="S65" s="25"/>
      <c r="T65" s="25"/>
      <c r="U65" s="25"/>
      <c r="V65" s="25"/>
      <c r="W65" s="25"/>
    </row>
    <row r="66" spans="1:23" ht="20" customHeight="1" x14ac:dyDescent="0.15">
      <c r="A66" s="33"/>
      <c r="B66" s="14" t="s">
        <v>3</v>
      </c>
      <c r="C66" s="14" t="s">
        <v>4</v>
      </c>
      <c r="D66" s="14" t="s">
        <v>5</v>
      </c>
      <c r="E66" s="33" t="s">
        <v>6</v>
      </c>
      <c r="F66" s="14" t="s">
        <v>7</v>
      </c>
      <c r="G66" s="27" t="s">
        <v>8</v>
      </c>
      <c r="H66" s="15"/>
      <c r="I66" s="33"/>
      <c r="J66" s="14" t="s">
        <v>3</v>
      </c>
      <c r="K66" s="14" t="s">
        <v>4</v>
      </c>
      <c r="L66" s="14" t="s">
        <v>5</v>
      </c>
      <c r="M66" s="33" t="s">
        <v>6</v>
      </c>
      <c r="N66" s="14" t="s">
        <v>7</v>
      </c>
      <c r="O66" s="27" t="s">
        <v>8</v>
      </c>
      <c r="P66" s="15"/>
      <c r="Q66" s="33"/>
      <c r="R66" s="14" t="s">
        <v>3</v>
      </c>
      <c r="S66" s="14" t="s">
        <v>4</v>
      </c>
      <c r="T66" s="14" t="s">
        <v>5</v>
      </c>
      <c r="U66" s="33" t="s">
        <v>6</v>
      </c>
      <c r="V66" s="14" t="s">
        <v>7</v>
      </c>
      <c r="W66" s="27" t="s">
        <v>8</v>
      </c>
    </row>
    <row r="67" spans="1:23" ht="20" customHeight="1" x14ac:dyDescent="0.15">
      <c r="A67" s="40">
        <v>0</v>
      </c>
      <c r="B67" s="1">
        <v>0.57999999999999996</v>
      </c>
      <c r="C67" s="2">
        <v>0.3</v>
      </c>
      <c r="D67" s="2">
        <v>0.4</v>
      </c>
      <c r="E67" s="37">
        <v>163</v>
      </c>
      <c r="F67" s="2" t="s">
        <v>288</v>
      </c>
      <c r="G67" s="5">
        <v>0.55030674846625705</v>
      </c>
      <c r="H67" s="15"/>
      <c r="I67" s="40">
        <v>0</v>
      </c>
      <c r="J67" s="1">
        <v>0.62</v>
      </c>
      <c r="K67" s="2">
        <v>0.22</v>
      </c>
      <c r="L67" s="2">
        <v>0.32</v>
      </c>
      <c r="M67" s="37">
        <v>915</v>
      </c>
      <c r="N67" s="2" t="s">
        <v>305</v>
      </c>
      <c r="O67" s="5">
        <v>0.54850810573583098</v>
      </c>
      <c r="P67" s="15"/>
      <c r="Q67" s="40">
        <v>0</v>
      </c>
      <c r="R67" s="1">
        <v>0.57999999999999996</v>
      </c>
      <c r="S67" s="2">
        <v>0.48</v>
      </c>
      <c r="T67" s="2">
        <v>0.53</v>
      </c>
      <c r="U67" s="37">
        <v>881</v>
      </c>
      <c r="V67" s="2" t="s">
        <v>323</v>
      </c>
      <c r="W67" s="5">
        <v>0.59453026349243099</v>
      </c>
    </row>
    <row r="68" spans="1:23" ht="20" customHeight="1" x14ac:dyDescent="0.15">
      <c r="A68" s="41">
        <v>1</v>
      </c>
      <c r="B68" s="3">
        <v>0.55000000000000004</v>
      </c>
      <c r="C68" s="4">
        <v>0.8</v>
      </c>
      <c r="D68" s="4">
        <v>0.65</v>
      </c>
      <c r="E68" s="38">
        <v>175</v>
      </c>
      <c r="F68" s="4" t="s">
        <v>237</v>
      </c>
      <c r="G68" s="31"/>
      <c r="H68" s="15"/>
      <c r="I68" s="41">
        <v>1</v>
      </c>
      <c r="J68" s="3">
        <v>0.56000000000000005</v>
      </c>
      <c r="K68" s="4">
        <v>0.88</v>
      </c>
      <c r="L68" s="4">
        <v>0.68</v>
      </c>
      <c r="M68" s="38">
        <v>1021</v>
      </c>
      <c r="N68" s="4" t="s">
        <v>306</v>
      </c>
      <c r="O68" s="31"/>
      <c r="P68" s="15"/>
      <c r="Q68" s="41">
        <v>1</v>
      </c>
      <c r="R68" s="3">
        <v>0.62</v>
      </c>
      <c r="S68" s="4">
        <v>0.71</v>
      </c>
      <c r="T68" s="4">
        <v>0.66</v>
      </c>
      <c r="U68" s="38">
        <v>1067</v>
      </c>
      <c r="V68" s="4" t="s">
        <v>324</v>
      </c>
      <c r="W68" s="31"/>
    </row>
    <row r="69" spans="1:23" ht="20" customHeight="1" x14ac:dyDescent="0.15">
      <c r="A69" s="42" t="s">
        <v>95</v>
      </c>
      <c r="B69" s="3" t="s">
        <v>96</v>
      </c>
      <c r="C69" s="4" t="s">
        <v>96</v>
      </c>
      <c r="D69" s="4">
        <v>0.56000000000000005</v>
      </c>
      <c r="E69" s="38">
        <v>338</v>
      </c>
      <c r="F69" s="4"/>
      <c r="G69" s="31"/>
      <c r="H69" s="15"/>
      <c r="I69" s="42" t="s">
        <v>95</v>
      </c>
      <c r="J69" s="3" t="s">
        <v>96</v>
      </c>
      <c r="K69" s="4" t="s">
        <v>96</v>
      </c>
      <c r="L69" s="4">
        <v>0.56999999999999995</v>
      </c>
      <c r="M69" s="38">
        <v>1936</v>
      </c>
      <c r="N69" s="4"/>
      <c r="O69" s="31"/>
      <c r="P69" s="15"/>
      <c r="Q69" s="42" t="s">
        <v>95</v>
      </c>
      <c r="R69" s="3" t="s">
        <v>96</v>
      </c>
      <c r="S69" s="4" t="s">
        <v>96</v>
      </c>
      <c r="T69" s="4">
        <v>0.61</v>
      </c>
      <c r="U69" s="38">
        <v>1948</v>
      </c>
      <c r="V69" s="4"/>
      <c r="W69" s="31"/>
    </row>
    <row r="70" spans="1:23" ht="20" customHeight="1" x14ac:dyDescent="0.15">
      <c r="A70" s="42" t="s">
        <v>97</v>
      </c>
      <c r="B70" s="3">
        <v>0.56999999999999995</v>
      </c>
      <c r="C70" s="4">
        <v>0.55000000000000004</v>
      </c>
      <c r="D70" s="4">
        <v>0.52</v>
      </c>
      <c r="E70" s="38">
        <v>338</v>
      </c>
      <c r="F70" s="4"/>
      <c r="G70" s="31"/>
      <c r="H70" s="15"/>
      <c r="I70" s="42" t="s">
        <v>97</v>
      </c>
      <c r="J70" s="3">
        <v>0.59</v>
      </c>
      <c r="K70" s="4">
        <v>0.55000000000000004</v>
      </c>
      <c r="L70" s="4">
        <v>0.5</v>
      </c>
      <c r="M70" s="38">
        <v>1936</v>
      </c>
      <c r="N70" s="4"/>
      <c r="O70" s="31"/>
      <c r="P70" s="15"/>
      <c r="Q70" s="42" t="s">
        <v>97</v>
      </c>
      <c r="R70" s="3">
        <v>0.6</v>
      </c>
      <c r="S70" s="4">
        <v>0.59</v>
      </c>
      <c r="T70" s="4">
        <v>0.59</v>
      </c>
      <c r="U70" s="38">
        <v>1948</v>
      </c>
      <c r="V70" s="4"/>
      <c r="W70" s="31"/>
    </row>
    <row r="71" spans="1:23" ht="27.75" customHeight="1" x14ac:dyDescent="0.15">
      <c r="A71" s="42" t="s">
        <v>98</v>
      </c>
      <c r="B71" s="3">
        <v>0.56999999999999995</v>
      </c>
      <c r="C71" s="4">
        <v>0.56000000000000005</v>
      </c>
      <c r="D71" s="4">
        <v>0.53</v>
      </c>
      <c r="E71" s="38">
        <v>338</v>
      </c>
      <c r="F71" s="4"/>
      <c r="G71" s="31"/>
      <c r="H71" s="20"/>
      <c r="I71" s="42" t="s">
        <v>98</v>
      </c>
      <c r="J71" s="3">
        <v>0.59</v>
      </c>
      <c r="K71" s="4">
        <v>0.56999999999999995</v>
      </c>
      <c r="L71" s="4">
        <v>0.51</v>
      </c>
      <c r="M71" s="38">
        <v>1936</v>
      </c>
      <c r="N71" s="4"/>
      <c r="O71" s="31"/>
      <c r="P71" s="20"/>
      <c r="Q71" s="42" t="s">
        <v>98</v>
      </c>
      <c r="R71" s="3">
        <v>0.6</v>
      </c>
      <c r="S71" s="4">
        <v>0.61</v>
      </c>
      <c r="T71" s="4">
        <v>0.6</v>
      </c>
      <c r="U71" s="38">
        <v>1948</v>
      </c>
      <c r="V71" s="4"/>
      <c r="W71" s="31"/>
    </row>
  </sheetData>
  <mergeCells count="27">
    <mergeCell ref="A49:G49"/>
    <mergeCell ref="I49:O49"/>
    <mergeCell ref="I65:O65"/>
    <mergeCell ref="Q65:W65"/>
    <mergeCell ref="Q49:W49"/>
    <mergeCell ref="A57:G57"/>
    <mergeCell ref="I57:O57"/>
    <mergeCell ref="Q57:W57"/>
    <mergeCell ref="A65:G65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7262-45A5-6947-B8CB-FFC71DF7F323}">
  <dimension ref="A1:G25"/>
  <sheetViews>
    <sheetView zoomScale="91" workbookViewId="0">
      <selection activeCell="B3" sqref="B3"/>
    </sheetView>
  </sheetViews>
  <sheetFormatPr baseColWidth="10" defaultRowHeight="13" x14ac:dyDescent="0.15"/>
  <cols>
    <col min="2" max="2" width="21.6640625" style="32" customWidth="1"/>
    <col min="3" max="3" width="21.1640625" customWidth="1"/>
    <col min="4" max="6" width="21.6640625" customWidth="1"/>
    <col min="7" max="7" width="21" customWidth="1"/>
  </cols>
  <sheetData>
    <row r="1" spans="1:7" ht="14" x14ac:dyDescent="0.15">
      <c r="A1" s="6" t="s">
        <v>39</v>
      </c>
      <c r="B1" s="26" t="s">
        <v>33</v>
      </c>
      <c r="C1" s="26"/>
      <c r="D1" s="26" t="s">
        <v>34</v>
      </c>
      <c r="E1" s="26"/>
      <c r="F1" s="26" t="s">
        <v>35</v>
      </c>
      <c r="G1" s="26"/>
    </row>
    <row r="2" spans="1:7" ht="14" customHeight="1" x14ac:dyDescent="0.15">
      <c r="A2" s="9" t="s">
        <v>36</v>
      </c>
      <c r="B2" s="44">
        <f>MAX('zero (1998-2023)'!G3,'zero (1998-2023)'!G11,'zero (1998-2023)'!G19,'mean (1998-2023)'!G3,'mean (1998-2023)'!G11,'mean (1998-2023)'!G19,'median (1998-2023)'!G3,'median (1998-2023)'!G11,'median (1998-2023)'!G19)</f>
        <v>0.643050799086758</v>
      </c>
      <c r="C2" s="9" t="s">
        <v>168</v>
      </c>
      <c r="D2" s="44">
        <f>MAX('zero (1998-2023)'!G27,'zero (1998-2023)'!G35,'zero (1998-2023)'!G43,'mean (1998-2023)'!G27,'mean (1998-2023)'!G35,'mean (1998-2023)'!G43,'median (1998-2023)'!G27,'median (1998-2023)'!G35,'median (1998-2023)'!G43)</f>
        <v>0.64872918492550302</v>
      </c>
      <c r="E2" s="9" t="s">
        <v>170</v>
      </c>
      <c r="F2" s="44">
        <f>MAX('zero (1998-2023)'!G51,'zero (1998-2023)'!G59,'zero (1998-2023)'!G67,'mean (1998-2023)'!G51,'mean (1998-2023)'!G59,'mean (1998-2023)'!G66,'median (1998-2023)'!G51,'median (1998-2023)'!G59,'median (1998-2023)'!G67)</f>
        <v>0.61821209465381199</v>
      </c>
      <c r="G2" s="9" t="s">
        <v>168</v>
      </c>
    </row>
    <row r="3" spans="1:7" ht="14" x14ac:dyDescent="0.15">
      <c r="A3" s="9" t="s">
        <v>37</v>
      </c>
      <c r="B3" s="44">
        <f>MAX('zero (1998-2023)'!O3,'zero (1998-2023)'!O11,'zero (1998-2023)'!O19,'mean (1998-2023)'!O3,'mean (1998-2023)'!O11,'mean (1998-2023)'!O19,'median (1998-2023)'!O3,'median (1998-2023)'!O11,'median (1998-2023)'!O19)</f>
        <v>0.63620861070286105</v>
      </c>
      <c r="C3" s="9" t="s">
        <v>325</v>
      </c>
      <c r="D3" s="44">
        <f>MAX('zero (1998-2023)'!O27,'zero (1998-2023)'!O35,'zero (1998-2023)'!O43,'mean (1998-2023)'!O27,'mean (1998-2023)'!O35,'mean (1998-2023)'!O43,'median (1998-2023)'!O27,'median (1998-2023)'!O35,'median (1998-2023)'!O43)</f>
        <v>0.63042679069131102</v>
      </c>
      <c r="E3" s="9" t="s">
        <v>326</v>
      </c>
      <c r="F3" s="44">
        <f>MAX('zero (1998-2023)'!O51,'zero (1998-2023)'!O59,'zero (1998-2023)'!O67,'mean (1998-2023)'!O51,'mean (1998-2023)'!O59,'mean (1998-2023)'!O66,'median (1998-2023)'!O51,'median (1998-2023)'!O59,'median (1998-2023)'!O67)</f>
        <v>0.59217578394695003</v>
      </c>
      <c r="G3" s="9" t="s">
        <v>169</v>
      </c>
    </row>
    <row r="4" spans="1:7" ht="14" x14ac:dyDescent="0.15">
      <c r="A4" s="9" t="s">
        <v>38</v>
      </c>
      <c r="B4" s="44">
        <f>MAX('zero (1998-2023)'!W3,'zero (1998-2023)'!W11,'zero (1998-2023)'!W19,'mean (1998-2023)'!W3,'mean (1998-2023)'!W11,'mean (1998-2023)'!W19,'median (1998-2023)'!W3,'median (1998-2023)'!W11,'median (1998-2023)'!W19)</f>
        <v>0.67374252377683996</v>
      </c>
      <c r="C4" s="9" t="s">
        <v>170</v>
      </c>
      <c r="D4" s="44">
        <f>MAX('zero (1998-2023)'!W27,'zero (1998-2023)'!W35,'zero (1998-2023)'!W43,'mean (1998-2023)'!W27,'mean (1998-2023)'!W35,'mean (1998-2023)'!W43,'median (1998-2023)'!W27,'median (1998-2023)'!W35,'median (1998-2023)'!W43)</f>
        <v>0.68553717213826604</v>
      </c>
      <c r="E4" s="9" t="s">
        <v>168</v>
      </c>
      <c r="F4" s="44">
        <f>MAX('zero (1998-2023)'!W51,'zero (1998-2023)'!W59,'zero (1998-2023)'!W67,'mean (1998-2023)'!W51,'mean (1998-2023)'!W59,'mean (1998-2023)'!W66,'median (1998-2023)'!W51,'median (1998-2023)'!W59,'median (1998-2023)'!W67)</f>
        <v>0.60870219685179205</v>
      </c>
      <c r="G4" s="9" t="s">
        <v>170</v>
      </c>
    </row>
    <row r="6" spans="1:7" ht="14" x14ac:dyDescent="0.15">
      <c r="A6" s="6" t="s">
        <v>40</v>
      </c>
      <c r="B6" s="26" t="s">
        <v>33</v>
      </c>
      <c r="C6" s="26"/>
      <c r="D6" s="26" t="s">
        <v>34</v>
      </c>
      <c r="E6" s="26"/>
      <c r="F6" s="26" t="s">
        <v>35</v>
      </c>
      <c r="G6" s="26"/>
    </row>
    <row r="7" spans="1:7" ht="14" x14ac:dyDescent="0.15">
      <c r="A7" s="9" t="s">
        <v>36</v>
      </c>
      <c r="B7" s="8">
        <f>MAX('zero (1998-2023)'!D5,'zero (1998-2023)'!D13,'zero (1998-2023)'!D21,'mean (1998-2023)'!D5,'mean (1998-2023)'!D13,'mean (1998-2023)'!D21,'median (1998-2023)'!D5,'median (1998-2023)'!D13,'median (1998-2023)'!D21)</f>
        <v>0.65</v>
      </c>
      <c r="C7" s="9" t="s">
        <v>327</v>
      </c>
      <c r="D7" s="8">
        <f>MAX('zero (1998-2023)'!D29,'zero (1998-2023)'!D37,'zero (1998-2023)'!D45,'mean (1998-2023)'!D29,'mean (1998-2023)'!D37,'mean (1998-2023)'!D45,'median (1998-2023)'!D29,'median (1998-2023)'!D37,'median (1998-2023)'!D45)</f>
        <v>0.64</v>
      </c>
      <c r="E7" s="9" t="s">
        <v>329</v>
      </c>
      <c r="F7" s="8">
        <f>MAX('zero (1998-2023)'!D53,'zero (1998-2023)'!D61,'zero (1998-2023)'!D69,'mean (1998-2023)'!D53,'mean (1998-2023)'!D61,'mean (1998-2023)'!D69,'median (1998-2023)'!D53,'median (1998-2023)'!D61,'median (1998-2023)'!D69)</f>
        <v>0.62</v>
      </c>
      <c r="G7" s="9" t="s">
        <v>331</v>
      </c>
    </row>
    <row r="8" spans="1:7" ht="28" x14ac:dyDescent="0.15">
      <c r="A8" s="9" t="s">
        <v>37</v>
      </c>
      <c r="B8" s="8">
        <f>MAX('zero (1998-2023)'!L5,'zero (1998-2023)'!L13,'zero (1998-2023)'!L21,'mean (1998-2023)'!L5,'mean (1998-2023)'!L13,'mean (1998-2023)'!L21,'median (1998-2023)'!L5,'median (1998-2023)'!L13,'median (1998-2023)'!L21)</f>
        <v>0.64</v>
      </c>
      <c r="C8" s="9" t="s">
        <v>328</v>
      </c>
      <c r="D8" s="8">
        <f>MAX('zero (1998-2023)'!L29,'zero (1998-2023)'!L37,'zero (1998-2023)'!L45,'mean (1998-2023)'!L29,'mean (1998-2023)'!L37,'mean (1998-2023)'!L45,'median (1998-2023)'!L29,'median (1998-2023)'!L37,'median (1998-2023)'!L45)</f>
        <v>0.63</v>
      </c>
      <c r="E8" s="9" t="s">
        <v>330</v>
      </c>
      <c r="F8" s="8">
        <f>MAX('zero (1998-2023)'!L53,'zero (1998-2023)'!L61,'zero (1998-2023)'!L69,'mean (1998-2023)'!L53,'mean (1998-2023)'!L61,'mean (1998-2023)'!L69,'median (1998-2023)'!L53,'median (1998-2023)'!L61,'median (1998-2023)'!L69)</f>
        <v>0.6</v>
      </c>
      <c r="G8" s="9" t="s">
        <v>169</v>
      </c>
    </row>
    <row r="9" spans="1:7" ht="28" x14ac:dyDescent="0.15">
      <c r="A9" s="9" t="s">
        <v>38</v>
      </c>
      <c r="B9" s="8">
        <f>MAX('zero (1998-2023)'!T5,'zero (1998-2023)'!T13,'zero (1998-2023)'!T21,'mean (1998-2023)'!T5,'mean (1998-2023)'!T13,'mean (1998-2023)'!T21,'median (1998-2023)'!T5,'median (1998-2023)'!T13,'median (1998-2023)'!T21)</f>
        <v>0.67</v>
      </c>
      <c r="C9" s="9" t="s">
        <v>99</v>
      </c>
      <c r="D9" s="8">
        <f>MAX('zero (1998-2023)'!T29,'zero (1998-2023)'!T37,'zero (1998-2023)'!T45,'mean (1998-2023)'!T29,'mean (1998-2023)'!T37,'mean (1998-2023)'!T45,'median (1998-2023)'!T29,'median (1998-2023)'!T37,'median (1998-2023)'!T45)</f>
        <v>0.71</v>
      </c>
      <c r="E9" s="9" t="s">
        <v>168</v>
      </c>
      <c r="F9" s="8">
        <f>MAX('zero (1998-2023)'!T53,'zero (1998-2023)'!T61,'zero (1998-2023)'!T69,'mean (1998-2023)'!T53,'mean (1998-2023)'!T61,'mean (1998-2023)'!T69,'median (1998-2023)'!T53,'median (1998-2023)'!T61,'median (1998-2023)'!T69)</f>
        <v>0.63</v>
      </c>
      <c r="G9" s="9" t="s">
        <v>99</v>
      </c>
    </row>
    <row r="12" spans="1:7" x14ac:dyDescent="0.15">
      <c r="B12"/>
    </row>
    <row r="13" spans="1:7" x14ac:dyDescent="0.15">
      <c r="B13"/>
    </row>
    <row r="14" spans="1:7" x14ac:dyDescent="0.15">
      <c r="B14"/>
    </row>
    <row r="15" spans="1:7" x14ac:dyDescent="0.15">
      <c r="B15"/>
    </row>
    <row r="16" spans="1:7" x14ac:dyDescent="0.15">
      <c r="B16"/>
    </row>
    <row r="17" spans="2:2" x14ac:dyDescent="0.15">
      <c r="B17"/>
    </row>
    <row r="18" spans="2:2" x14ac:dyDescent="0.15">
      <c r="B18"/>
    </row>
    <row r="19" spans="2:2" x14ac:dyDescent="0.15">
      <c r="B19"/>
    </row>
    <row r="20" spans="2:2" x14ac:dyDescent="0.15">
      <c r="B20"/>
    </row>
    <row r="21" spans="2:2" x14ac:dyDescent="0.15">
      <c r="B21"/>
    </row>
    <row r="22" spans="2:2" x14ac:dyDescent="0.15">
      <c r="B22"/>
    </row>
    <row r="23" spans="2:2" x14ac:dyDescent="0.15">
      <c r="B23"/>
    </row>
    <row r="24" spans="2:2" x14ac:dyDescent="0.15">
      <c r="B24"/>
    </row>
    <row r="25" spans="2:2" x14ac:dyDescent="0.15">
      <c r="B25"/>
    </row>
  </sheetData>
  <mergeCells count="6">
    <mergeCell ref="B1:C1"/>
    <mergeCell ref="D1:E1"/>
    <mergeCell ref="F1:G1"/>
    <mergeCell ref="B6:C6"/>
    <mergeCell ref="D6:E6"/>
    <mergeCell ref="F6:G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zero (1995-2023)</vt:lpstr>
      <vt:lpstr>mean (1995-2023)</vt:lpstr>
      <vt:lpstr>median (1995-2023)</vt:lpstr>
      <vt:lpstr>results (1995-2023)</vt:lpstr>
      <vt:lpstr>zero (1998-2023)</vt:lpstr>
      <vt:lpstr>mean (1998-2023)</vt:lpstr>
      <vt:lpstr>median (1998-2023)</vt:lpstr>
      <vt:lpstr>results (1998-2023)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a.sala139@campus.unimib.it</cp:lastModifiedBy>
  <dcterms:modified xsi:type="dcterms:W3CDTF">2025-06-05T14:49:01Z</dcterms:modified>
</cp:coreProperties>
</file>